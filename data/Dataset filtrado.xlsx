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1" sheetId="1" r:id="rId5"/>
    <sheet state="visible" name="IQA_Aux" sheetId="2" r:id="rId6"/>
  </sheets>
  <definedNames/>
  <calcPr/>
</workbook>
</file>

<file path=xl/sharedStrings.xml><?xml version="1.0" encoding="utf-8"?>
<sst xmlns="http://schemas.openxmlformats.org/spreadsheetml/2006/main" count="518" uniqueCount="140">
  <si>
    <t>QIA Parcial (sem DBO, com peso dos índices reajustados)</t>
  </si>
  <si>
    <t>Parâmetro</t>
  </si>
  <si>
    <t>Peso original</t>
  </si>
  <si>
    <t>Peso ajustado</t>
  </si>
  <si>
    <t>IQA Parcial - pesos</t>
  </si>
  <si>
    <t>Oxigênio dissolvido</t>
  </si>
  <si>
    <t>Cod_Interaguas</t>
  </si>
  <si>
    <t>Código Ponto</t>
  </si>
  <si>
    <t>Status Ponto</t>
  </si>
  <si>
    <t>Data Coleta</t>
  </si>
  <si>
    <t>Hora Coleta</t>
  </si>
  <si>
    <t>Oxigênio Dissolvido mg/l</t>
  </si>
  <si>
    <t>Escherichia coli** UFC/100mL</t>
  </si>
  <si>
    <t>PH U.pH</t>
  </si>
  <si>
    <t>Temperatura Da Agua C°</t>
  </si>
  <si>
    <t>Nitrogênio Total</t>
  </si>
  <si>
    <t>Nitrogênio-Nitrito mg/l</t>
  </si>
  <si>
    <t>Nitrogênio-Nitrato mg/L</t>
  </si>
  <si>
    <t>Nitrogênio Kjeldahl mg/l</t>
  </si>
  <si>
    <t>Nitrogênio Amoniacal mg/L</t>
  </si>
  <si>
    <t>Fósforo Total mg/l</t>
  </si>
  <si>
    <t>Turbidez (UNT)</t>
  </si>
  <si>
    <t>Sólido Total</t>
  </si>
  <si>
    <t>Coliformes termotolerantes</t>
  </si>
  <si>
    <r>
      <rPr>
        <rFont val="Calibri"/>
        <color theme="1"/>
        <sz val="11.0"/>
      </rPr>
      <t xml:space="preserve">PH </t>
    </r>
    <r>
      <rPr>
        <rFont val="Calibri"/>
        <color rgb="FF000000"/>
        <sz val="11.0"/>
      </rPr>
      <t>U.pH</t>
    </r>
  </si>
  <si>
    <t>pH</t>
  </si>
  <si>
    <t xml:space="preserve">Fósforo Total mg/l        </t>
  </si>
  <si>
    <t xml:space="preserve">Turbidez (UNT)        </t>
  </si>
  <si>
    <t>Temperatura</t>
  </si>
  <si>
    <t>Total</t>
  </si>
  <si>
    <t>2617</t>
  </si>
  <si>
    <t>IPAU02600</t>
  </si>
  <si>
    <t>Ativo</t>
  </si>
  <si>
    <t>17/03/2022</t>
  </si>
  <si>
    <t>10:30</t>
  </si>
  <si>
    <t>Nitrogênio total</t>
  </si>
  <si>
    <t>Fósforo total</t>
  </si>
  <si>
    <t>Turbidez</t>
  </si>
  <si>
    <t>Resíduos totais</t>
  </si>
  <si>
    <t>Rio Itapanhaú - IPAU</t>
  </si>
  <si>
    <t>Rio (Lótico)</t>
  </si>
  <si>
    <t>Classe 2</t>
  </si>
  <si>
    <t>BERTIOGA</t>
  </si>
  <si>
    <t>SP</t>
  </si>
  <si>
    <t>29/06/2022</t>
  </si>
  <si>
    <t>11:58</t>
  </si>
  <si>
    <t>15/09/2022</t>
  </si>
  <si>
    <t>11:30</t>
  </si>
  <si>
    <t>08/12/2022</t>
  </si>
  <si>
    <t>10:15</t>
  </si>
  <si>
    <t>21/03/2023</t>
  </si>
  <si>
    <t>12:10</t>
  </si>
  <si>
    <t>27/06/2023</t>
  </si>
  <si>
    <t>11:04</t>
  </si>
  <si>
    <t>26/09/2023</t>
  </si>
  <si>
    <t>11:09</t>
  </si>
  <si>
    <t>12/12/2023</t>
  </si>
  <si>
    <t>11:45</t>
  </si>
  <si>
    <t>19/03/2024</t>
  </si>
  <si>
    <t>13:42</t>
  </si>
  <si>
    <t>22/05/2024</t>
  </si>
  <si>
    <t>10:38</t>
  </si>
  <si>
    <t>03/09/2024</t>
  </si>
  <si>
    <t>11:32</t>
  </si>
  <si>
    <t>03/12/2024</t>
  </si>
  <si>
    <t>10:39</t>
  </si>
  <si>
    <t>25/03/2025</t>
  </si>
  <si>
    <t>11:36</t>
  </si>
  <si>
    <t>24/06/2025</t>
  </si>
  <si>
    <t>16/09/2025</t>
  </si>
  <si>
    <t>10:35</t>
  </si>
  <si>
    <t>09/12/2025</t>
  </si>
  <si>
    <t>10:55</t>
  </si>
  <si>
    <t>206</t>
  </si>
  <si>
    <t>CUBA02700</t>
  </si>
  <si>
    <t>31/03/2022</t>
  </si>
  <si>
    <t>10:37</t>
  </si>
  <si>
    <t>Rio Cubatão - CUBA</t>
  </si>
  <si>
    <t>CUBATAO</t>
  </si>
  <si>
    <t>09/06/2022</t>
  </si>
  <si>
    <t>11:03</t>
  </si>
  <si>
    <t>01/09/2022</t>
  </si>
  <si>
    <t>10:06</t>
  </si>
  <si>
    <t>01/12/2022</t>
  </si>
  <si>
    <t>10:40</t>
  </si>
  <si>
    <t>11:15</t>
  </si>
  <si>
    <t>13/06/2023</t>
  </si>
  <si>
    <t>09:56</t>
  </si>
  <si>
    <t>12/09/2023</t>
  </si>
  <si>
    <t>05/12/2023</t>
  </si>
  <si>
    <t>10:13</t>
  </si>
  <si>
    <t>12/03/2024</t>
  </si>
  <si>
    <t>13:05</t>
  </si>
  <si>
    <t>08/05/2024</t>
  </si>
  <si>
    <t>09:43</t>
  </si>
  <si>
    <t>17/09/2024</t>
  </si>
  <si>
    <t>10/12/2024</t>
  </si>
  <si>
    <t>10:41</t>
  </si>
  <si>
    <t>11/03/2025</t>
  </si>
  <si>
    <t>13:48</t>
  </si>
  <si>
    <t>03/06/2025</t>
  </si>
  <si>
    <t>12:55</t>
  </si>
  <si>
    <t>02/09/2025</t>
  </si>
  <si>
    <t>02/12/2025</t>
  </si>
  <si>
    <t>10:03</t>
  </si>
  <si>
    <t>2535</t>
  </si>
  <si>
    <t>SABO22500</t>
  </si>
  <si>
    <t>24/03/2022</t>
  </si>
  <si>
    <t>11:53</t>
  </si>
  <si>
    <t>Rio Saboó - SABO</t>
  </si>
  <si>
    <t>Salobra 2</t>
  </si>
  <si>
    <t>SANTOS</t>
  </si>
  <si>
    <t>02/06/2022</t>
  </si>
  <si>
    <t>10:49</t>
  </si>
  <si>
    <t>29/09/2022</t>
  </si>
  <si>
    <t>09:35</t>
  </si>
  <si>
    <t>30/11/2022</t>
  </si>
  <si>
    <t>09:04</t>
  </si>
  <si>
    <t>07/03/2023</t>
  </si>
  <si>
    <t>11:27</t>
  </si>
  <si>
    <t>14/06/2023</t>
  </si>
  <si>
    <t>10:01</t>
  </si>
  <si>
    <t>13/09/2023</t>
  </si>
  <si>
    <t>10:58</t>
  </si>
  <si>
    <t>06/12/2023</t>
  </si>
  <si>
    <t>09:44</t>
  </si>
  <si>
    <t>13/03/2024</t>
  </si>
  <si>
    <t>08:41</t>
  </si>
  <si>
    <t>07/05/2024</t>
  </si>
  <si>
    <t>13:57</t>
  </si>
  <si>
    <t>18/09/2024</t>
  </si>
  <si>
    <t>11/12/2024</t>
  </si>
  <si>
    <t>09:19</t>
  </si>
  <si>
    <t>12/03/2025</t>
  </si>
  <si>
    <t>04/06/2025</t>
  </si>
  <si>
    <t>09:41</t>
  </si>
  <si>
    <t>03/09/2025</t>
  </si>
  <si>
    <t>09:52</t>
  </si>
  <si>
    <t>03/12/2025</t>
  </si>
  <si>
    <t>09:31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</si>
</sst>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1.0"/>
      <color rgb="FF000000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/>
    <font>
      <u/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92D050"/>
        <bgColor rgb="FF92D050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1" fillId="0" fontId="3" numFmtId="0" xfId="0" applyAlignment="1" applyBorder="1" applyFont="1">
      <alignment horizontal="center" readingOrder="0"/>
    </xf>
    <xf borderId="0" fillId="0" fontId="4" numFmtId="0" xfId="0" applyAlignment="1" applyFont="1">
      <alignment readingOrder="0"/>
    </xf>
    <xf borderId="2" fillId="0" fontId="5" numFmtId="0" xfId="0" applyBorder="1" applyFont="1"/>
    <xf borderId="3" fillId="0" fontId="3" numFmtId="0" xfId="0" applyAlignment="1" applyBorder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6" fillId="3" fontId="2" numFmtId="0" xfId="0" applyBorder="1" applyFill="1" applyFont="1"/>
    <xf borderId="0" fillId="3" fontId="4" numFmtId="0" xfId="0" applyAlignment="1" applyFill="1" applyFont="1">
      <alignment readingOrder="0"/>
    </xf>
    <xf borderId="6" fillId="0" fontId="2" numFmtId="0" xfId="0" applyBorder="1" applyFont="1"/>
    <xf borderId="6" fillId="3" fontId="2" numFmtId="0" xfId="0" applyAlignment="1" applyBorder="1" applyFill="1" applyFont="1">
      <alignment horizontal="center"/>
    </xf>
    <xf borderId="0" fillId="0" fontId="4" numFmtId="2" xfId="0" applyFont="1" applyNumberFormat="1"/>
    <xf borderId="6" fillId="4" fontId="2" numFmtId="0" xfId="0" applyBorder="1" applyFill="1" applyFont="1"/>
    <xf borderId="3" fillId="0" fontId="4" numFmtId="0" xfId="0" applyBorder="1" applyFont="1"/>
    <xf borderId="6" fillId="4" fontId="2" numFmtId="0" xfId="0" applyAlignment="1" applyBorder="1" applyFill="1" applyFont="1">
      <alignment readingOrder="0"/>
    </xf>
    <xf borderId="0" fillId="4" fontId="4" numFmtId="0" xfId="0" applyAlignment="1" applyFill="1" applyFont="1">
      <alignment readingOrder="0"/>
    </xf>
    <xf borderId="0" fillId="0" fontId="4" numFmtId="2" xfId="0" applyAlignment="1" applyFont="1" applyNumberFormat="1">
      <alignment readingOrder="0"/>
    </xf>
    <xf borderId="0" fillId="2" fontId="3" numFmtId="0" xfId="0" applyAlignment="1" applyFill="1" applyFont="1">
      <alignment horizontal="center" readingOrder="0"/>
    </xf>
    <xf borderId="0" fillId="0" fontId="4" numFmtId="0" xfId="0" applyFont="1"/>
    <xf borderId="0" fillId="0" fontId="2" numFmtId="4" xfId="0" applyFont="1" applyNumberFormat="1"/>
    <xf borderId="7" fillId="0" fontId="3" numFmtId="0" xfId="0" applyAlignment="1" applyBorder="1" applyFont="1">
      <alignment horizontal="center" readingOrder="0"/>
    </xf>
    <xf borderId="8" fillId="0" fontId="4" numFmtId="0" xfId="0" applyAlignment="1" applyBorder="1" applyFont="1">
      <alignment readingOrder="0"/>
    </xf>
    <xf borderId="0" fillId="0" fontId="4" numFmtId="4" xfId="0" applyFont="1" applyNumberFormat="1"/>
    <xf borderId="8" fillId="0" fontId="4" numFmtId="2" xfId="0" applyBorder="1" applyFont="1" applyNumberFormat="1"/>
    <xf borderId="0" fillId="0" fontId="4" numFmtId="164" xfId="0" applyFont="1" applyNumberFormat="1"/>
    <xf borderId="0" fillId="0" fontId="4" numFmtId="164" xfId="0" applyAlignment="1" applyFont="1" applyNumberFormat="1">
      <alignment readingOrder="0"/>
    </xf>
    <xf borderId="0" fillId="4" fontId="4" numFmtId="164" xfId="0" applyFill="1" applyFont="1" applyNumberFormat="1"/>
    <xf borderId="0" fillId="0" fontId="6" numFmtId="0" xfId="0" applyFont="1"/>
    <xf borderId="0" fillId="0" fontId="2" numFmtId="14" xfId="0" applyFont="1" applyNumberFormat="1"/>
    <xf borderId="0" fillId="5" fontId="4" numFmtId="4" xfId="0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86"/>
    <col customWidth="1" min="2" max="2" width="12.29"/>
    <col customWidth="1" min="3" max="3" width="15.43"/>
    <col customWidth="1" min="4" max="4" width="11.86"/>
    <col customWidth="1" min="5" max="5" width="11.29"/>
    <col customWidth="1" min="6" max="6" width="13.43"/>
    <col customWidth="1" min="7" max="8" width="12.86"/>
    <col customWidth="1" min="9" max="10" width="11.86"/>
    <col customWidth="1" min="11" max="11" width="12.0"/>
    <col customWidth="1" min="12" max="12" width="13.29"/>
    <col customWidth="1" min="13" max="13" width="11.86"/>
    <col customWidth="1" min="14" max="14" width="12.57"/>
    <col customWidth="1" min="15" max="15" width="11.14"/>
    <col customWidth="1" min="16" max="16" width="16.57"/>
    <col customWidth="1" min="17" max="17" width="11.71"/>
    <col customWidth="1" min="18" max="18" width="13.86"/>
    <col customWidth="1" min="19" max="19" width="14.71"/>
    <col customWidth="1" min="20" max="20" width="11.71"/>
    <col customWidth="1" min="21" max="21" width="15.43"/>
    <col customWidth="1" min="22" max="22" width="13.86"/>
    <col customWidth="1" min="23" max="23" width="7.29"/>
    <col customWidth="1" min="24" max="24" width="10.29"/>
    <col customWidth="1" min="25" max="32" width="8.71"/>
  </cols>
  <sheetData>
    <row r="1">
      <c r="A1" s="1"/>
      <c r="B1" s="1"/>
      <c r="C1" s="1"/>
      <c r="D1" s="1"/>
      <c r="E1" s="1"/>
      <c r="F1" s="1"/>
      <c r="G1" s="2"/>
      <c r="H1" s="2"/>
      <c r="I1" s="2"/>
      <c r="J1" s="2"/>
      <c r="K1" s="4"/>
      <c r="L1" s="2"/>
      <c r="M1" s="2"/>
      <c r="N1" s="2"/>
      <c r="O1" s="2"/>
      <c r="P1" s="2"/>
      <c r="Q1" s="7"/>
      <c r="R1" s="2"/>
      <c r="S1" s="2"/>
      <c r="T1" s="2"/>
      <c r="U1" s="2"/>
      <c r="V1" s="2"/>
      <c r="W1" s="2"/>
      <c r="X1" s="11" t="s">
        <v>4</v>
      </c>
    </row>
    <row r="2">
      <c r="A2" s="1"/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2" t="s">
        <v>11</v>
      </c>
      <c r="H2" s="12" t="s">
        <v>12</v>
      </c>
      <c r="I2" s="12" t="s">
        <v>13</v>
      </c>
      <c r="J2" s="12" t="s">
        <v>14</v>
      </c>
      <c r="K2" s="13" t="s">
        <v>15</v>
      </c>
      <c r="L2" s="14" t="s">
        <v>16</v>
      </c>
      <c r="M2" s="14" t="s">
        <v>17</v>
      </c>
      <c r="N2" s="14" t="s">
        <v>18</v>
      </c>
      <c r="O2" s="14" t="s">
        <v>19</v>
      </c>
      <c r="P2" s="12" t="s">
        <v>20</v>
      </c>
      <c r="Q2" s="15" t="s">
        <v>21</v>
      </c>
      <c r="R2" s="12" t="s">
        <v>22</v>
      </c>
      <c r="S2" s="2"/>
      <c r="T2" s="2"/>
      <c r="U2" s="2"/>
      <c r="V2" s="2"/>
      <c r="W2" s="2"/>
      <c r="X2" s="17" t="s">
        <v>11</v>
      </c>
      <c r="Y2" s="17" t="s">
        <v>12</v>
      </c>
      <c r="Z2" s="19" t="s">
        <v>24</v>
      </c>
      <c r="AA2" s="17" t="s">
        <v>14</v>
      </c>
      <c r="AB2" s="20" t="s">
        <v>15</v>
      </c>
      <c r="AC2" s="20" t="s">
        <v>26</v>
      </c>
      <c r="AD2" s="20" t="s">
        <v>27</v>
      </c>
      <c r="AE2" s="20" t="s">
        <v>22</v>
      </c>
      <c r="AF2" s="22" t="s">
        <v>29</v>
      </c>
    </row>
    <row r="3">
      <c r="B3" s="23" t="s">
        <v>30</v>
      </c>
      <c r="C3" s="23" t="s">
        <v>31</v>
      </c>
      <c r="D3" s="23" t="s">
        <v>32</v>
      </c>
      <c r="E3" s="23" t="s">
        <v>33</v>
      </c>
      <c r="F3" s="23" t="s">
        <v>34</v>
      </c>
      <c r="G3" s="24">
        <v>8.9</v>
      </c>
      <c r="H3" s="24">
        <v>148.0</v>
      </c>
      <c r="I3" s="24">
        <v>6.63</v>
      </c>
      <c r="J3" s="24">
        <v>22.0</v>
      </c>
      <c r="K3" s="27">
        <f t="shared" ref="K3:K50" si="3">L3+M3+N3+O3</f>
        <v>2.14</v>
      </c>
      <c r="L3" s="24">
        <v>0.01</v>
      </c>
      <c r="M3" s="24">
        <v>0.13</v>
      </c>
      <c r="N3" s="24">
        <v>1.0</v>
      </c>
      <c r="O3" s="24">
        <v>1.0</v>
      </c>
      <c r="P3" s="24">
        <v>0.02</v>
      </c>
      <c r="Q3" s="24">
        <v>5.16</v>
      </c>
      <c r="R3" s="24">
        <v>50.0</v>
      </c>
      <c r="S3" s="23" t="s">
        <v>39</v>
      </c>
      <c r="T3" s="23" t="s">
        <v>40</v>
      </c>
      <c r="U3" s="23" t="s">
        <v>41</v>
      </c>
      <c r="V3" s="23" t="s">
        <v>42</v>
      </c>
      <c r="W3" s="23" t="s">
        <v>43</v>
      </c>
      <c r="X3" s="29">
        <f t="shared" ref="X3:X50" si="4">G3^0.19</f>
        <v>1.514900473</v>
      </c>
      <c r="Y3" s="29">
        <f t="shared" ref="Y3:Y50" si="5">H3^0.17</f>
        <v>2.338538324</v>
      </c>
      <c r="Z3" s="29">
        <f t="shared" ref="Z3:Z50" si="6">I3^0.13</f>
        <v>1.278782719</v>
      </c>
      <c r="AA3" s="30">
        <f t="shared" ref="AA3:AB3" si="1">J3^0.11</f>
        <v>1.404968201</v>
      </c>
      <c r="AB3" s="30">
        <f t="shared" si="1"/>
        <v>1.087290304</v>
      </c>
      <c r="AC3" s="30">
        <f t="shared" ref="AC3:AC50" si="8">P3^0.11</f>
        <v>0.6502993195</v>
      </c>
      <c r="AD3" s="30">
        <f t="shared" ref="AD3:AE3" si="2">Q3^0.09</f>
        <v>1.159146887</v>
      </c>
      <c r="AE3" s="30">
        <f t="shared" si="2"/>
        <v>1.422025225</v>
      </c>
      <c r="AF3" s="31">
        <f t="shared" ref="AF3:AF50" si="10">PRODUCT(X3:AE3)</f>
        <v>7.418164071</v>
      </c>
    </row>
    <row r="4">
      <c r="B4" s="23" t="s">
        <v>30</v>
      </c>
      <c r="C4" s="23" t="s">
        <v>31</v>
      </c>
      <c r="D4" s="23" t="s">
        <v>32</v>
      </c>
      <c r="E4" s="23" t="s">
        <v>44</v>
      </c>
      <c r="F4" s="23" t="s">
        <v>45</v>
      </c>
      <c r="G4" s="24">
        <v>9.3</v>
      </c>
      <c r="H4" s="24">
        <v>76.0</v>
      </c>
      <c r="I4" s="24">
        <v>6.39</v>
      </c>
      <c r="J4" s="24">
        <v>17.0</v>
      </c>
      <c r="K4" s="27">
        <f t="shared" si="3"/>
        <v>2.13</v>
      </c>
      <c r="L4" s="24">
        <v>0.01</v>
      </c>
      <c r="M4" s="24">
        <v>0.12</v>
      </c>
      <c r="N4" s="24">
        <v>1.0</v>
      </c>
      <c r="O4" s="24">
        <v>1.0</v>
      </c>
      <c r="P4" s="24">
        <v>0.03</v>
      </c>
      <c r="Q4" s="24">
        <v>2.9</v>
      </c>
      <c r="R4" s="24">
        <v>68.0</v>
      </c>
      <c r="S4" s="23" t="s">
        <v>39</v>
      </c>
      <c r="T4" s="23" t="s">
        <v>40</v>
      </c>
      <c r="U4" s="23" t="s">
        <v>41</v>
      </c>
      <c r="V4" s="23" t="s">
        <v>42</v>
      </c>
      <c r="W4" s="23" t="s">
        <v>43</v>
      </c>
      <c r="X4" s="29">
        <f t="shared" si="4"/>
        <v>1.527607424</v>
      </c>
      <c r="Y4" s="29">
        <f t="shared" si="5"/>
        <v>2.08803758</v>
      </c>
      <c r="Z4" s="29">
        <f t="shared" si="6"/>
        <v>1.272667963</v>
      </c>
      <c r="AA4" s="30">
        <f t="shared" ref="AA4:AB4" si="7">J4^0.11</f>
        <v>1.365681359</v>
      </c>
      <c r="AB4" s="30">
        <f t="shared" si="7"/>
        <v>1.086730251</v>
      </c>
      <c r="AC4" s="30">
        <f t="shared" si="8"/>
        <v>0.6799599574</v>
      </c>
      <c r="AD4" s="30">
        <f t="shared" ref="AD4:AE4" si="9">Q4^0.09</f>
        <v>1.10056531</v>
      </c>
      <c r="AE4" s="30">
        <f t="shared" si="9"/>
        <v>1.461927387</v>
      </c>
      <c r="AF4" s="31">
        <f t="shared" si="10"/>
        <v>6.591151288</v>
      </c>
    </row>
    <row r="5">
      <c r="B5" s="23" t="s">
        <v>30</v>
      </c>
      <c r="C5" s="23" t="s">
        <v>31</v>
      </c>
      <c r="D5" s="23" t="s">
        <v>32</v>
      </c>
      <c r="E5" s="23" t="s">
        <v>46</v>
      </c>
      <c r="F5" s="23" t="s">
        <v>47</v>
      </c>
      <c r="G5" s="24">
        <v>9.8</v>
      </c>
      <c r="H5" s="24">
        <v>232.0</v>
      </c>
      <c r="I5" s="24">
        <v>6.4</v>
      </c>
      <c r="J5" s="24">
        <v>17.0</v>
      </c>
      <c r="K5" s="27">
        <f t="shared" si="3"/>
        <v>2.14</v>
      </c>
      <c r="L5" s="24">
        <v>0.01</v>
      </c>
      <c r="M5" s="24">
        <v>0.13</v>
      </c>
      <c r="N5" s="24">
        <v>1.0</v>
      </c>
      <c r="O5" s="24">
        <v>1.0</v>
      </c>
      <c r="P5" s="24">
        <v>0.04</v>
      </c>
      <c r="Q5" s="24">
        <v>2.39</v>
      </c>
      <c r="R5" s="24">
        <v>100.0</v>
      </c>
      <c r="S5" s="23" t="s">
        <v>39</v>
      </c>
      <c r="T5" s="23" t="s">
        <v>40</v>
      </c>
      <c r="U5" s="23" t="s">
        <v>41</v>
      </c>
      <c r="V5" s="23" t="s">
        <v>42</v>
      </c>
      <c r="W5" s="23" t="s">
        <v>43</v>
      </c>
      <c r="X5" s="29">
        <f t="shared" si="4"/>
        <v>1.54288286</v>
      </c>
      <c r="Y5" s="29">
        <f t="shared" si="5"/>
        <v>2.524253444</v>
      </c>
      <c r="Z5" s="29">
        <f t="shared" si="6"/>
        <v>1.272926702</v>
      </c>
      <c r="AA5" s="30">
        <f t="shared" ref="AA5:AB5" si="11">J5^0.11</f>
        <v>1.365681359</v>
      </c>
      <c r="AB5" s="30">
        <f t="shared" si="11"/>
        <v>1.087290304</v>
      </c>
      <c r="AC5" s="30">
        <f t="shared" si="8"/>
        <v>0.7018213877</v>
      </c>
      <c r="AD5" s="30">
        <f t="shared" ref="AD5:AE5" si="12">Q5^0.09</f>
        <v>1.081572935</v>
      </c>
      <c r="AE5" s="30">
        <f t="shared" si="12"/>
        <v>1.513561248</v>
      </c>
      <c r="AF5" s="31">
        <f t="shared" si="10"/>
        <v>8.457589747</v>
      </c>
    </row>
    <row r="6">
      <c r="B6" s="23" t="s">
        <v>30</v>
      </c>
      <c r="C6" s="23" t="s">
        <v>31</v>
      </c>
      <c r="D6" s="23" t="s">
        <v>32</v>
      </c>
      <c r="E6" s="23" t="s">
        <v>48</v>
      </c>
      <c r="F6" s="23" t="s">
        <v>49</v>
      </c>
      <c r="G6" s="24">
        <v>8.7</v>
      </c>
      <c r="H6" s="24">
        <v>112.0</v>
      </c>
      <c r="I6" s="24">
        <v>6.57</v>
      </c>
      <c r="J6" s="24">
        <v>21.0</v>
      </c>
      <c r="K6" s="27">
        <f t="shared" si="3"/>
        <v>2.19</v>
      </c>
      <c r="L6" s="24">
        <v>0.01</v>
      </c>
      <c r="M6" s="24">
        <v>0.18</v>
      </c>
      <c r="N6" s="24">
        <v>1.0</v>
      </c>
      <c r="O6" s="24">
        <v>1.0</v>
      </c>
      <c r="P6" s="24">
        <v>0.03</v>
      </c>
      <c r="Q6" s="24">
        <v>5.11</v>
      </c>
      <c r="R6" s="24">
        <v>100.0</v>
      </c>
      <c r="S6" s="23" t="s">
        <v>39</v>
      </c>
      <c r="T6" s="23" t="s">
        <v>40</v>
      </c>
      <c r="U6" s="23" t="s">
        <v>41</v>
      </c>
      <c r="V6" s="23" t="s">
        <v>42</v>
      </c>
      <c r="W6" s="23" t="s">
        <v>43</v>
      </c>
      <c r="X6" s="29">
        <f t="shared" si="4"/>
        <v>1.508372681</v>
      </c>
      <c r="Y6" s="29">
        <f t="shared" si="5"/>
        <v>2.230319409</v>
      </c>
      <c r="Z6" s="29">
        <f t="shared" si="6"/>
        <v>1.277272312</v>
      </c>
      <c r="AA6" s="30">
        <f t="shared" ref="AA6:AB6" si="13">J6^0.11</f>
        <v>1.397797059</v>
      </c>
      <c r="AB6" s="30">
        <f t="shared" si="13"/>
        <v>1.090056108</v>
      </c>
      <c r="AC6" s="30">
        <f t="shared" si="8"/>
        <v>0.6799599574</v>
      </c>
      <c r="AD6" s="30">
        <f t="shared" ref="AD6:AE6" si="14">Q6^0.09</f>
        <v>1.158131518</v>
      </c>
      <c r="AE6" s="30">
        <f t="shared" si="14"/>
        <v>1.513561248</v>
      </c>
      <c r="AF6" s="31">
        <f t="shared" si="10"/>
        <v>7.803571501</v>
      </c>
    </row>
    <row r="7">
      <c r="B7" s="23" t="s">
        <v>30</v>
      </c>
      <c r="C7" s="23" t="s">
        <v>31</v>
      </c>
      <c r="D7" s="23" t="s">
        <v>32</v>
      </c>
      <c r="E7" s="23" t="s">
        <v>50</v>
      </c>
      <c r="F7" s="23" t="s">
        <v>51</v>
      </c>
      <c r="G7" s="24">
        <v>9.1</v>
      </c>
      <c r="H7" s="24">
        <v>88.0</v>
      </c>
      <c r="I7" s="24">
        <v>6.95</v>
      </c>
      <c r="J7" s="24">
        <v>20.0</v>
      </c>
      <c r="K7" s="27">
        <f t="shared" si="3"/>
        <v>2.11</v>
      </c>
      <c r="L7" s="24">
        <v>0.01</v>
      </c>
      <c r="M7" s="24">
        <v>0.1</v>
      </c>
      <c r="N7" s="24">
        <v>1.0</v>
      </c>
      <c r="O7" s="24">
        <v>1.0</v>
      </c>
      <c r="P7" s="24">
        <v>0.02</v>
      </c>
      <c r="Q7" s="24">
        <v>3.38</v>
      </c>
      <c r="R7" s="24">
        <v>816.0</v>
      </c>
      <c r="S7" s="23" t="s">
        <v>39</v>
      </c>
      <c r="T7" s="23" t="s">
        <v>40</v>
      </c>
      <c r="U7" s="23" t="s">
        <v>41</v>
      </c>
      <c r="V7" s="23" t="s">
        <v>42</v>
      </c>
      <c r="W7" s="23" t="s">
        <v>43</v>
      </c>
      <c r="X7" s="29">
        <f t="shared" si="4"/>
        <v>1.521310506</v>
      </c>
      <c r="Y7" s="29">
        <f t="shared" si="5"/>
        <v>2.140730784</v>
      </c>
      <c r="Z7" s="29">
        <f t="shared" si="6"/>
        <v>1.28664289</v>
      </c>
      <c r="AA7" s="30">
        <f t="shared" ref="AA7:AB7" si="15">J7^0.11</f>
        <v>1.390315292</v>
      </c>
      <c r="AB7" s="30">
        <f t="shared" si="15"/>
        <v>1.085603088</v>
      </c>
      <c r="AC7" s="30">
        <f t="shared" si="8"/>
        <v>0.6502993195</v>
      </c>
      <c r="AD7" s="30">
        <f t="shared" ref="AD7:AE7" si="16">Q7^0.09</f>
        <v>1.115841483</v>
      </c>
      <c r="AE7" s="30">
        <f t="shared" si="16"/>
        <v>1.828319597</v>
      </c>
      <c r="AF7" s="31">
        <f t="shared" si="10"/>
        <v>8.390546138</v>
      </c>
    </row>
    <row r="8">
      <c r="B8" s="23" t="s">
        <v>30</v>
      </c>
      <c r="C8" s="23" t="s">
        <v>31</v>
      </c>
      <c r="D8" s="23" t="s">
        <v>32</v>
      </c>
      <c r="E8" s="23" t="s">
        <v>52</v>
      </c>
      <c r="F8" s="23" t="s">
        <v>53</v>
      </c>
      <c r="G8" s="24">
        <v>9.8</v>
      </c>
      <c r="H8" s="24">
        <v>22.0</v>
      </c>
      <c r="I8" s="24">
        <v>7.29</v>
      </c>
      <c r="J8" s="24">
        <v>17.0</v>
      </c>
      <c r="K8" s="27">
        <f t="shared" si="3"/>
        <v>2.11</v>
      </c>
      <c r="L8" s="24">
        <v>0.01</v>
      </c>
      <c r="M8" s="24">
        <v>0.1</v>
      </c>
      <c r="N8" s="24">
        <v>1.0</v>
      </c>
      <c r="O8" s="24">
        <v>1.0</v>
      </c>
      <c r="P8" s="24">
        <v>0.02</v>
      </c>
      <c r="Q8" s="24">
        <v>1.81</v>
      </c>
      <c r="R8" s="24">
        <v>50.0</v>
      </c>
      <c r="S8" s="23" t="s">
        <v>39</v>
      </c>
      <c r="T8" s="23" t="s">
        <v>40</v>
      </c>
      <c r="U8" s="23" t="s">
        <v>41</v>
      </c>
      <c r="V8" s="23" t="s">
        <v>42</v>
      </c>
      <c r="W8" s="23" t="s">
        <v>43</v>
      </c>
      <c r="X8" s="29">
        <f t="shared" si="4"/>
        <v>1.54288286</v>
      </c>
      <c r="Y8" s="29">
        <f t="shared" si="5"/>
        <v>1.691265757</v>
      </c>
      <c r="Z8" s="29">
        <f t="shared" si="6"/>
        <v>1.294656567</v>
      </c>
      <c r="AA8" s="30">
        <f t="shared" ref="AA8:AB8" si="17">J8^0.11</f>
        <v>1.365681359</v>
      </c>
      <c r="AB8" s="30">
        <f t="shared" si="17"/>
        <v>1.085603088</v>
      </c>
      <c r="AC8" s="30">
        <f t="shared" si="8"/>
        <v>0.6502993195</v>
      </c>
      <c r="AD8" s="30">
        <f t="shared" ref="AD8:AE8" si="18">Q8^0.09</f>
        <v>1.054850885</v>
      </c>
      <c r="AE8" s="30">
        <f t="shared" si="18"/>
        <v>1.422025225</v>
      </c>
      <c r="AF8" s="31">
        <f t="shared" si="10"/>
        <v>4.885753051</v>
      </c>
    </row>
    <row r="9">
      <c r="B9" s="23" t="s">
        <v>30</v>
      </c>
      <c r="C9" s="23" t="s">
        <v>31</v>
      </c>
      <c r="D9" s="23" t="s">
        <v>32</v>
      </c>
      <c r="E9" s="23" t="s">
        <v>54</v>
      </c>
      <c r="F9" s="23" t="s">
        <v>55</v>
      </c>
      <c r="G9" s="24">
        <v>9.0</v>
      </c>
      <c r="H9" s="24">
        <v>96.0</v>
      </c>
      <c r="I9" s="24">
        <v>7.36</v>
      </c>
      <c r="J9" s="24">
        <v>22.0</v>
      </c>
      <c r="K9" s="27">
        <f t="shared" si="3"/>
        <v>2.16</v>
      </c>
      <c r="L9" s="24">
        <v>0.01</v>
      </c>
      <c r="M9" s="24">
        <v>0.15</v>
      </c>
      <c r="N9" s="24">
        <v>1.0</v>
      </c>
      <c r="O9" s="24">
        <v>1.0</v>
      </c>
      <c r="P9" s="24">
        <v>0.02</v>
      </c>
      <c r="Q9" s="24">
        <v>2.28</v>
      </c>
      <c r="R9" s="24">
        <v>50.0</v>
      </c>
      <c r="S9" s="23" t="s">
        <v>39</v>
      </c>
      <c r="T9" s="23" t="s">
        <v>40</v>
      </c>
      <c r="U9" s="23" t="s">
        <v>41</v>
      </c>
      <c r="V9" s="23" t="s">
        <v>42</v>
      </c>
      <c r="W9" s="23" t="s">
        <v>43</v>
      </c>
      <c r="X9" s="29">
        <f t="shared" si="4"/>
        <v>1.518119913</v>
      </c>
      <c r="Y9" s="29">
        <f t="shared" si="5"/>
        <v>2.172631689</v>
      </c>
      <c r="Z9" s="29">
        <f t="shared" si="6"/>
        <v>1.296265958</v>
      </c>
      <c r="AA9" s="30">
        <f t="shared" ref="AA9:AB9" si="19">J9^0.11</f>
        <v>1.404968201</v>
      </c>
      <c r="AB9" s="30">
        <f t="shared" si="19"/>
        <v>1.088403457</v>
      </c>
      <c r="AC9" s="30">
        <f t="shared" si="8"/>
        <v>0.6502993195</v>
      </c>
      <c r="AD9" s="30">
        <f t="shared" ref="AD9:AE9" si="20">Q9^0.09</f>
        <v>1.076996114</v>
      </c>
      <c r="AE9" s="30">
        <f t="shared" si="20"/>
        <v>1.422025225</v>
      </c>
      <c r="AF9" s="31">
        <f t="shared" si="10"/>
        <v>6.51144604</v>
      </c>
    </row>
    <row r="10">
      <c r="B10" s="23" t="s">
        <v>30</v>
      </c>
      <c r="C10" s="23" t="s">
        <v>31</v>
      </c>
      <c r="D10" s="23" t="s">
        <v>32</v>
      </c>
      <c r="E10" s="23" t="s">
        <v>56</v>
      </c>
      <c r="F10" s="23" t="s">
        <v>57</v>
      </c>
      <c r="G10" s="24">
        <v>9.3</v>
      </c>
      <c r="H10" s="24">
        <v>140.0</v>
      </c>
      <c r="I10" s="24">
        <v>6.25</v>
      </c>
      <c r="J10" s="24">
        <v>19.0</v>
      </c>
      <c r="K10" s="27">
        <f t="shared" si="3"/>
        <v>2.14</v>
      </c>
      <c r="L10" s="24">
        <v>0.01</v>
      </c>
      <c r="M10" s="24">
        <v>0.13</v>
      </c>
      <c r="N10" s="24">
        <v>1.0</v>
      </c>
      <c r="O10" s="24">
        <v>1.0</v>
      </c>
      <c r="P10" s="24">
        <v>0.02</v>
      </c>
      <c r="Q10" s="24">
        <v>4.41</v>
      </c>
      <c r="R10" s="24">
        <v>80.0</v>
      </c>
      <c r="S10" s="23" t="s">
        <v>39</v>
      </c>
      <c r="T10" s="23" t="s">
        <v>40</v>
      </c>
      <c r="U10" s="23" t="s">
        <v>41</v>
      </c>
      <c r="V10" s="23" t="s">
        <v>42</v>
      </c>
      <c r="W10" s="23" t="s">
        <v>43</v>
      </c>
      <c r="X10" s="29">
        <f t="shared" si="4"/>
        <v>1.527607424</v>
      </c>
      <c r="Y10" s="29">
        <f t="shared" si="5"/>
        <v>2.316550468</v>
      </c>
      <c r="Z10" s="29">
        <f t="shared" si="6"/>
        <v>1.269008124</v>
      </c>
      <c r="AA10" s="30">
        <f t="shared" ref="AA10:AB10" si="21">J10^0.11</f>
        <v>1.382492857</v>
      </c>
      <c r="AB10" s="30">
        <f t="shared" si="21"/>
        <v>1.087290304</v>
      </c>
      <c r="AC10" s="30">
        <f t="shared" si="8"/>
        <v>0.6502993195</v>
      </c>
      <c r="AD10" s="30">
        <f t="shared" ref="AD10:AE10" si="22">Q10^0.09</f>
        <v>1.142876948</v>
      </c>
      <c r="AE10" s="30">
        <f t="shared" si="22"/>
        <v>1.483467714</v>
      </c>
      <c r="AF10" s="31">
        <f t="shared" si="10"/>
        <v>7.442472029</v>
      </c>
    </row>
    <row r="11">
      <c r="B11" s="23" t="s">
        <v>30</v>
      </c>
      <c r="C11" s="23" t="s">
        <v>31</v>
      </c>
      <c r="D11" s="23" t="s">
        <v>32</v>
      </c>
      <c r="E11" s="23" t="s">
        <v>58</v>
      </c>
      <c r="F11" s="23" t="s">
        <v>59</v>
      </c>
      <c r="G11" s="24">
        <v>8.3</v>
      </c>
      <c r="H11" s="24">
        <v>156.0</v>
      </c>
      <c r="I11" s="24">
        <v>5.88</v>
      </c>
      <c r="J11" s="24">
        <v>25.0</v>
      </c>
      <c r="K11" s="27">
        <f t="shared" si="3"/>
        <v>2.17</v>
      </c>
      <c r="L11" s="24">
        <v>0.01</v>
      </c>
      <c r="M11" s="24">
        <v>0.16</v>
      </c>
      <c r="N11" s="24">
        <v>1.0</v>
      </c>
      <c r="O11" s="24">
        <v>1.0</v>
      </c>
      <c r="P11" s="24">
        <v>0.02</v>
      </c>
      <c r="Q11" s="24">
        <v>3.98</v>
      </c>
      <c r="R11" s="24">
        <v>172.0</v>
      </c>
      <c r="S11" s="23" t="s">
        <v>39</v>
      </c>
      <c r="T11" s="23" t="s">
        <v>40</v>
      </c>
      <c r="U11" s="23" t="s">
        <v>41</v>
      </c>
      <c r="V11" s="23" t="s">
        <v>42</v>
      </c>
      <c r="W11" s="23" t="s">
        <v>43</v>
      </c>
      <c r="X11" s="29">
        <f t="shared" si="4"/>
        <v>1.494943701</v>
      </c>
      <c r="Y11" s="29">
        <f t="shared" si="5"/>
        <v>2.35956085</v>
      </c>
      <c r="Z11" s="29">
        <f t="shared" si="6"/>
        <v>1.258980642</v>
      </c>
      <c r="AA11" s="30">
        <f t="shared" ref="AA11:AB11" si="23">J11^0.11</f>
        <v>1.424863957</v>
      </c>
      <c r="AB11" s="30">
        <f t="shared" si="23"/>
        <v>1.088956598</v>
      </c>
      <c r="AC11" s="30">
        <f t="shared" si="8"/>
        <v>0.6502993195</v>
      </c>
      <c r="AD11" s="30">
        <f t="shared" ref="AD11:AE11" si="24">Q11^0.09</f>
        <v>1.132372924</v>
      </c>
      <c r="AE11" s="30">
        <f t="shared" si="24"/>
        <v>1.589269542</v>
      </c>
      <c r="AF11" s="31">
        <f t="shared" si="10"/>
        <v>8.064164523</v>
      </c>
    </row>
    <row r="12">
      <c r="B12" s="23" t="s">
        <v>30</v>
      </c>
      <c r="C12" s="23" t="s">
        <v>31</v>
      </c>
      <c r="D12" s="23" t="s">
        <v>32</v>
      </c>
      <c r="E12" s="23" t="s">
        <v>60</v>
      </c>
      <c r="F12" s="32" t="s">
        <v>61</v>
      </c>
      <c r="G12" s="24">
        <v>9.4</v>
      </c>
      <c r="H12" s="24">
        <v>80.0</v>
      </c>
      <c r="I12" s="24">
        <v>6.84</v>
      </c>
      <c r="J12" s="24">
        <v>19.0</v>
      </c>
      <c r="K12" s="27">
        <f t="shared" si="3"/>
        <v>2.14</v>
      </c>
      <c r="L12" s="24">
        <v>0.01</v>
      </c>
      <c r="M12" s="24">
        <v>0.13</v>
      </c>
      <c r="N12" s="24">
        <v>1.0</v>
      </c>
      <c r="O12" s="24">
        <v>1.0</v>
      </c>
      <c r="P12" s="24">
        <v>0.02</v>
      </c>
      <c r="Q12" s="24">
        <v>3.65</v>
      </c>
      <c r="R12" s="24">
        <v>316.0</v>
      </c>
      <c r="S12" s="23" t="s">
        <v>39</v>
      </c>
      <c r="T12" s="23" t="s">
        <v>40</v>
      </c>
      <c r="U12" s="23" t="s">
        <v>41</v>
      </c>
      <c r="V12" s="23" t="s">
        <v>42</v>
      </c>
      <c r="W12" s="23" t="s">
        <v>43</v>
      </c>
      <c r="X12" s="29">
        <f t="shared" si="4"/>
        <v>1.530714838</v>
      </c>
      <c r="Y12" s="29">
        <f t="shared" si="5"/>
        <v>2.106324589</v>
      </c>
      <c r="Z12" s="29">
        <f t="shared" si="6"/>
        <v>1.283977145</v>
      </c>
      <c r="AA12" s="30">
        <f t="shared" ref="AA12:AB12" si="25">J12^0.11</f>
        <v>1.382492857</v>
      </c>
      <c r="AB12" s="30">
        <f t="shared" si="25"/>
        <v>1.087290304</v>
      </c>
      <c r="AC12" s="30">
        <f t="shared" si="8"/>
        <v>0.6502993195</v>
      </c>
      <c r="AD12" s="30">
        <f t="shared" ref="AD12:AE12" si="26">Q12^0.09</f>
        <v>1.1235861</v>
      </c>
      <c r="AE12" s="30">
        <f t="shared" si="26"/>
        <v>1.678695157</v>
      </c>
      <c r="AF12" s="31">
        <f t="shared" si="10"/>
        <v>7.632675328</v>
      </c>
    </row>
    <row r="13">
      <c r="B13" s="23" t="s">
        <v>30</v>
      </c>
      <c r="C13" s="23" t="s">
        <v>31</v>
      </c>
      <c r="D13" s="23" t="s">
        <v>32</v>
      </c>
      <c r="E13" s="23" t="s">
        <v>62</v>
      </c>
      <c r="F13" s="23" t="s">
        <v>63</v>
      </c>
      <c r="G13" s="24">
        <v>9.6</v>
      </c>
      <c r="H13" s="24">
        <v>196.0</v>
      </c>
      <c r="I13" s="24">
        <v>6.31</v>
      </c>
      <c r="J13" s="24">
        <v>18.0</v>
      </c>
      <c r="K13" s="27">
        <f t="shared" si="3"/>
        <v>2.11</v>
      </c>
      <c r="L13" s="24">
        <v>0.01</v>
      </c>
      <c r="M13" s="24">
        <v>0.1</v>
      </c>
      <c r="N13" s="24">
        <v>1.0</v>
      </c>
      <c r="O13" s="24">
        <v>1.0</v>
      </c>
      <c r="P13" s="24">
        <v>0.03</v>
      </c>
      <c r="Q13" s="24">
        <v>1.78</v>
      </c>
      <c r="R13" s="24">
        <v>50.0</v>
      </c>
      <c r="S13" s="23" t="s">
        <v>39</v>
      </c>
      <c r="T13" s="23" t="s">
        <v>40</v>
      </c>
      <c r="U13" s="23" t="s">
        <v>41</v>
      </c>
      <c r="V13" s="23" t="s">
        <v>42</v>
      </c>
      <c r="W13" s="23" t="s">
        <v>43</v>
      </c>
      <c r="X13" s="29">
        <f t="shared" si="4"/>
        <v>1.536850187</v>
      </c>
      <c r="Y13" s="29">
        <f t="shared" si="5"/>
        <v>2.452920835</v>
      </c>
      <c r="Z13" s="29">
        <f t="shared" si="6"/>
        <v>1.270585271</v>
      </c>
      <c r="AA13" s="30">
        <f t="shared" ref="AA13:AB13" si="27">J13^0.11</f>
        <v>1.374295029</v>
      </c>
      <c r="AB13" s="30">
        <f t="shared" si="27"/>
        <v>1.085603088</v>
      </c>
      <c r="AC13" s="30">
        <f t="shared" si="8"/>
        <v>0.6799599574</v>
      </c>
      <c r="AD13" s="30">
        <f t="shared" ref="AD13:AE13" si="28">Q13^0.09</f>
        <v>1.053265357</v>
      </c>
      <c r="AE13" s="30">
        <f t="shared" si="28"/>
        <v>1.422025225</v>
      </c>
      <c r="AF13" s="31">
        <f t="shared" si="10"/>
        <v>7.277770686</v>
      </c>
    </row>
    <row r="14">
      <c r="B14" s="23" t="s">
        <v>30</v>
      </c>
      <c r="C14" s="23" t="s">
        <v>31</v>
      </c>
      <c r="D14" s="23" t="s">
        <v>32</v>
      </c>
      <c r="E14" s="23" t="s">
        <v>64</v>
      </c>
      <c r="F14" s="23" t="s">
        <v>65</v>
      </c>
      <c r="G14" s="24">
        <v>8.5</v>
      </c>
      <c r="H14" s="24">
        <v>136.0</v>
      </c>
      <c r="I14" s="24">
        <v>7.34</v>
      </c>
      <c r="J14" s="24">
        <v>21.0</v>
      </c>
      <c r="K14" s="27">
        <f t="shared" si="3"/>
        <v>2.19</v>
      </c>
      <c r="L14" s="24">
        <v>0.01</v>
      </c>
      <c r="M14" s="24">
        <v>0.18</v>
      </c>
      <c r="N14" s="24">
        <v>1.0</v>
      </c>
      <c r="O14" s="24">
        <v>1.0</v>
      </c>
      <c r="P14" s="24">
        <v>0.02</v>
      </c>
      <c r="Q14" s="24">
        <v>2.0</v>
      </c>
      <c r="R14" s="24">
        <v>52.0</v>
      </c>
      <c r="S14" s="23" t="s">
        <v>39</v>
      </c>
      <c r="T14" s="23" t="s">
        <v>40</v>
      </c>
      <c r="U14" s="23" t="s">
        <v>41</v>
      </c>
      <c r="V14" s="23" t="s">
        <v>42</v>
      </c>
      <c r="W14" s="23" t="s">
        <v>43</v>
      </c>
      <c r="X14" s="29">
        <f t="shared" si="4"/>
        <v>1.501722182</v>
      </c>
      <c r="Y14" s="29">
        <f t="shared" si="5"/>
        <v>2.305162864</v>
      </c>
      <c r="Z14" s="29">
        <f t="shared" si="6"/>
        <v>1.295807496</v>
      </c>
      <c r="AA14" s="30">
        <f t="shared" ref="AA14:AB14" si="29">J14^0.11</f>
        <v>1.397797059</v>
      </c>
      <c r="AB14" s="30">
        <f t="shared" si="29"/>
        <v>1.090056108</v>
      </c>
      <c r="AC14" s="30">
        <f t="shared" si="8"/>
        <v>0.6502993195</v>
      </c>
      <c r="AD14" s="30">
        <f t="shared" ref="AD14:AE14" si="30">Q14^0.09</f>
        <v>1.064370182</v>
      </c>
      <c r="AE14" s="30">
        <f t="shared" si="30"/>
        <v>1.427053651</v>
      </c>
      <c r="AF14" s="31">
        <f t="shared" si="10"/>
        <v>6.751044539</v>
      </c>
    </row>
    <row r="15">
      <c r="B15" s="23" t="s">
        <v>30</v>
      </c>
      <c r="C15" s="23" t="s">
        <v>31</v>
      </c>
      <c r="D15" s="23" t="s">
        <v>32</v>
      </c>
      <c r="E15" s="23" t="s">
        <v>66</v>
      </c>
      <c r="F15" s="23" t="s">
        <v>67</v>
      </c>
      <c r="G15" s="24">
        <v>8.2</v>
      </c>
      <c r="H15" s="24">
        <v>80.0</v>
      </c>
      <c r="I15" s="24">
        <v>7.04</v>
      </c>
      <c r="J15" s="24">
        <v>25.0</v>
      </c>
      <c r="K15" s="27">
        <f t="shared" si="3"/>
        <v>2.39</v>
      </c>
      <c r="L15" s="24">
        <v>0.01</v>
      </c>
      <c r="M15" s="24">
        <v>0.38</v>
      </c>
      <c r="N15" s="24">
        <v>1.0</v>
      </c>
      <c r="O15" s="24">
        <v>1.0</v>
      </c>
      <c r="P15" s="24">
        <v>0.04</v>
      </c>
      <c r="Q15" s="24">
        <v>2.42</v>
      </c>
      <c r="R15" s="24">
        <v>268.0</v>
      </c>
      <c r="S15" s="23" t="s">
        <v>39</v>
      </c>
      <c r="T15" s="23" t="s">
        <v>40</v>
      </c>
      <c r="U15" s="23" t="s">
        <v>41</v>
      </c>
      <c r="V15" s="23" t="s">
        <v>42</v>
      </c>
      <c r="W15" s="23" t="s">
        <v>43</v>
      </c>
      <c r="X15" s="29">
        <f t="shared" si="4"/>
        <v>1.49150472</v>
      </c>
      <c r="Y15" s="29">
        <f t="shared" si="5"/>
        <v>2.106324589</v>
      </c>
      <c r="Z15" s="29">
        <f t="shared" si="6"/>
        <v>1.28879679</v>
      </c>
      <c r="AA15" s="30">
        <f t="shared" ref="AA15:AB15" si="31">J15^0.11</f>
        <v>1.424863957</v>
      </c>
      <c r="AB15" s="30">
        <f t="shared" si="31"/>
        <v>1.100585455</v>
      </c>
      <c r="AC15" s="30">
        <f t="shared" si="8"/>
        <v>0.7018213877</v>
      </c>
      <c r="AD15" s="30">
        <f t="shared" ref="AD15:AE15" si="32">Q15^0.09</f>
        <v>1.082787873</v>
      </c>
      <c r="AE15" s="30">
        <f t="shared" si="32"/>
        <v>1.653987151</v>
      </c>
      <c r="AF15" s="31">
        <f t="shared" si="10"/>
        <v>7.980565363</v>
      </c>
    </row>
    <row r="16">
      <c r="B16" s="23" t="s">
        <v>30</v>
      </c>
      <c r="C16" s="23" t="s">
        <v>31</v>
      </c>
      <c r="D16" s="23" t="s">
        <v>32</v>
      </c>
      <c r="E16" s="23" t="s">
        <v>68</v>
      </c>
      <c r="F16" s="23" t="s">
        <v>34</v>
      </c>
      <c r="G16" s="24">
        <v>9.4</v>
      </c>
      <c r="H16" s="24">
        <v>500.0</v>
      </c>
      <c r="I16" s="24">
        <v>7.11</v>
      </c>
      <c r="J16" s="24">
        <v>18.0</v>
      </c>
      <c r="K16" s="27">
        <f t="shared" si="3"/>
        <v>2.13</v>
      </c>
      <c r="L16" s="24">
        <v>0.01</v>
      </c>
      <c r="M16" s="24">
        <v>0.12</v>
      </c>
      <c r="N16" s="24">
        <v>1.0</v>
      </c>
      <c r="O16" s="24">
        <v>1.0</v>
      </c>
      <c r="P16" s="24">
        <v>0.02</v>
      </c>
      <c r="Q16" s="24">
        <v>3.73</v>
      </c>
      <c r="R16" s="24">
        <v>294.0</v>
      </c>
      <c r="S16" s="23" t="s">
        <v>39</v>
      </c>
      <c r="T16" s="23" t="s">
        <v>40</v>
      </c>
      <c r="U16" s="23" t="s">
        <v>41</v>
      </c>
      <c r="V16" s="23" t="s">
        <v>42</v>
      </c>
      <c r="W16" s="23" t="s">
        <v>43</v>
      </c>
      <c r="X16" s="29">
        <f t="shared" si="4"/>
        <v>1.530714838</v>
      </c>
      <c r="Y16" s="29">
        <f t="shared" si="5"/>
        <v>2.876238536</v>
      </c>
      <c r="Z16" s="29">
        <f t="shared" si="6"/>
        <v>1.290455545</v>
      </c>
      <c r="AA16" s="30">
        <f t="shared" ref="AA16:AB16" si="33">J16^0.11</f>
        <v>1.374295029</v>
      </c>
      <c r="AB16" s="30">
        <f t="shared" si="33"/>
        <v>1.086730251</v>
      </c>
      <c r="AC16" s="30">
        <f t="shared" si="8"/>
        <v>0.6502993195</v>
      </c>
      <c r="AD16" s="30">
        <f t="shared" ref="AD16:AE16" si="34">Q16^0.09</f>
        <v>1.125780689</v>
      </c>
      <c r="AE16" s="30">
        <f t="shared" si="34"/>
        <v>1.667827997</v>
      </c>
      <c r="AF16" s="31">
        <f t="shared" si="10"/>
        <v>10.36053846</v>
      </c>
    </row>
    <row r="17">
      <c r="B17" s="23" t="s">
        <v>30</v>
      </c>
      <c r="C17" s="23" t="s">
        <v>31</v>
      </c>
      <c r="D17" s="23" t="s">
        <v>32</v>
      </c>
      <c r="E17" s="23" t="s">
        <v>69</v>
      </c>
      <c r="F17" s="23" t="s">
        <v>70</v>
      </c>
      <c r="G17" s="24">
        <v>8.99</v>
      </c>
      <c r="H17" s="24">
        <v>57.0</v>
      </c>
      <c r="I17" s="24">
        <v>6.65</v>
      </c>
      <c r="J17" s="24">
        <v>19.0</v>
      </c>
      <c r="K17" s="27">
        <f t="shared" si="3"/>
        <v>10000002.1</v>
      </c>
      <c r="L17" s="24">
        <v>1.0E7</v>
      </c>
      <c r="M17" s="24">
        <v>0.1</v>
      </c>
      <c r="N17" s="24">
        <v>1.0</v>
      </c>
      <c r="O17" s="24">
        <v>1.0</v>
      </c>
      <c r="P17" s="24">
        <v>0.02</v>
      </c>
      <c r="Q17" s="24">
        <v>9.65</v>
      </c>
      <c r="R17" s="24">
        <v>50.0</v>
      </c>
      <c r="S17" s="23" t="s">
        <v>39</v>
      </c>
      <c r="T17" s="23" t="s">
        <v>40</v>
      </c>
      <c r="U17" s="23" t="s">
        <v>41</v>
      </c>
      <c r="V17" s="23" t="s">
        <v>42</v>
      </c>
      <c r="W17" s="23" t="s">
        <v>43</v>
      </c>
      <c r="X17" s="29">
        <f t="shared" si="4"/>
        <v>1.517799276</v>
      </c>
      <c r="Y17" s="29">
        <f t="shared" si="5"/>
        <v>1.988376975</v>
      </c>
      <c r="Z17" s="29">
        <f t="shared" si="6"/>
        <v>1.279283545</v>
      </c>
      <c r="AA17" s="30">
        <f t="shared" ref="AA17:AB17" si="35">J17^0.11</f>
        <v>1.382492857</v>
      </c>
      <c r="AB17" s="30">
        <f t="shared" si="35"/>
        <v>5.88843669</v>
      </c>
      <c r="AC17" s="30">
        <f t="shared" si="8"/>
        <v>0.6502993195</v>
      </c>
      <c r="AD17" s="30">
        <f t="shared" ref="AD17:AE17" si="36">Q17^0.09</f>
        <v>1.226330298</v>
      </c>
      <c r="AE17" s="30">
        <f t="shared" si="36"/>
        <v>1.422025225</v>
      </c>
      <c r="AF17" s="31">
        <f t="shared" si="10"/>
        <v>35.6427205</v>
      </c>
    </row>
    <row r="18">
      <c r="B18" s="23" t="s">
        <v>30</v>
      </c>
      <c r="C18" s="23" t="s">
        <v>31</v>
      </c>
      <c r="D18" s="23" t="s">
        <v>32</v>
      </c>
      <c r="E18" s="23" t="s">
        <v>71</v>
      </c>
      <c r="F18" s="23" t="s">
        <v>72</v>
      </c>
      <c r="G18" s="24">
        <v>8.56</v>
      </c>
      <c r="H18" s="24">
        <v>188.0</v>
      </c>
      <c r="I18" s="24">
        <v>6.58</v>
      </c>
      <c r="J18" s="24">
        <v>22.0</v>
      </c>
      <c r="K18" s="27">
        <f t="shared" si="3"/>
        <v>2.13</v>
      </c>
      <c r="L18" s="24">
        <v>0.01</v>
      </c>
      <c r="M18" s="24">
        <v>0.12</v>
      </c>
      <c r="N18" s="24">
        <v>1.0</v>
      </c>
      <c r="O18" s="24">
        <v>1.0</v>
      </c>
      <c r="P18" s="24">
        <v>0.02</v>
      </c>
      <c r="Q18" s="24">
        <v>2.06</v>
      </c>
      <c r="R18" s="24">
        <v>50.0</v>
      </c>
      <c r="S18" s="23" t="s">
        <v>39</v>
      </c>
      <c r="T18" s="23" t="s">
        <v>40</v>
      </c>
      <c r="U18" s="23" t="s">
        <v>41</v>
      </c>
      <c r="V18" s="23" t="s">
        <v>42</v>
      </c>
      <c r="W18" s="23" t="s">
        <v>43</v>
      </c>
      <c r="X18" s="29">
        <f t="shared" si="4"/>
        <v>1.503730523</v>
      </c>
      <c r="Y18" s="29">
        <f t="shared" si="5"/>
        <v>2.435604873</v>
      </c>
      <c r="Z18" s="29">
        <f t="shared" si="6"/>
        <v>1.277524878</v>
      </c>
      <c r="AA18" s="30">
        <f t="shared" ref="AA18:AB18" si="37">J18^0.11</f>
        <v>1.404968201</v>
      </c>
      <c r="AB18" s="30">
        <f t="shared" si="37"/>
        <v>1.086730251</v>
      </c>
      <c r="AC18" s="30">
        <f t="shared" si="8"/>
        <v>0.6502993195</v>
      </c>
      <c r="AD18" s="30">
        <f t="shared" ref="AD18:AE18" si="38">Q18^0.09</f>
        <v>1.067205488</v>
      </c>
      <c r="AE18" s="30">
        <f t="shared" si="38"/>
        <v>1.422025225</v>
      </c>
      <c r="AF18" s="31">
        <f t="shared" si="10"/>
        <v>7.050227266</v>
      </c>
    </row>
    <row r="19">
      <c r="B19" s="23" t="s">
        <v>73</v>
      </c>
      <c r="C19" s="23" t="s">
        <v>74</v>
      </c>
      <c r="D19" s="23" t="s">
        <v>32</v>
      </c>
      <c r="E19" s="23" t="s">
        <v>75</v>
      </c>
      <c r="F19" s="23" t="s">
        <v>76</v>
      </c>
      <c r="G19" s="24">
        <v>8.7</v>
      </c>
      <c r="H19" s="24">
        <v>580.0</v>
      </c>
      <c r="I19" s="24">
        <v>7.66</v>
      </c>
      <c r="J19" s="24">
        <v>22.0</v>
      </c>
      <c r="K19" s="27">
        <f t="shared" si="3"/>
        <v>2.31</v>
      </c>
      <c r="L19" s="24">
        <v>0.01</v>
      </c>
      <c r="M19" s="24">
        <v>0.3</v>
      </c>
      <c r="N19" s="24">
        <v>1.0</v>
      </c>
      <c r="O19" s="24">
        <v>1.0</v>
      </c>
      <c r="P19" s="24">
        <v>0.03</v>
      </c>
      <c r="Q19" s="24">
        <v>4.7</v>
      </c>
      <c r="R19" s="24">
        <v>50.0</v>
      </c>
      <c r="S19" s="23" t="s">
        <v>77</v>
      </c>
      <c r="T19" s="23" t="s">
        <v>40</v>
      </c>
      <c r="U19" s="23" t="s">
        <v>41</v>
      </c>
      <c r="V19" s="23" t="s">
        <v>78</v>
      </c>
      <c r="W19" s="23" t="s">
        <v>43</v>
      </c>
      <c r="X19" s="29">
        <f t="shared" si="4"/>
        <v>1.508372681</v>
      </c>
      <c r="Y19" s="29">
        <f t="shared" si="5"/>
        <v>2.949733353</v>
      </c>
      <c r="Z19" s="29">
        <f t="shared" si="6"/>
        <v>1.303015975</v>
      </c>
      <c r="AA19" s="30">
        <f t="shared" ref="AA19:AB19" si="39">J19^0.11</f>
        <v>1.404968201</v>
      </c>
      <c r="AB19" s="30">
        <f t="shared" si="39"/>
        <v>1.096471424</v>
      </c>
      <c r="AC19" s="30">
        <f t="shared" si="8"/>
        <v>0.6799599574</v>
      </c>
      <c r="AD19" s="30">
        <f t="shared" ref="AD19:AE19" si="40">Q19^0.09</f>
        <v>1.149446619</v>
      </c>
      <c r="AE19" s="30">
        <f t="shared" si="40"/>
        <v>1.422025225</v>
      </c>
      <c r="AF19" s="31">
        <f t="shared" si="10"/>
        <v>9.926231858</v>
      </c>
    </row>
    <row r="20">
      <c r="B20" s="23" t="s">
        <v>73</v>
      </c>
      <c r="C20" s="23" t="s">
        <v>74</v>
      </c>
      <c r="D20" s="23" t="s">
        <v>32</v>
      </c>
      <c r="E20" s="23" t="s">
        <v>79</v>
      </c>
      <c r="F20" s="23" t="s">
        <v>80</v>
      </c>
      <c r="G20" s="24">
        <v>9.21</v>
      </c>
      <c r="H20" s="24">
        <v>1000.0</v>
      </c>
      <c r="I20" s="24">
        <v>6.64</v>
      </c>
      <c r="J20" s="24">
        <v>18.0</v>
      </c>
      <c r="K20" s="27">
        <f t="shared" si="3"/>
        <v>2.31</v>
      </c>
      <c r="L20" s="24">
        <v>0.01</v>
      </c>
      <c r="M20" s="24">
        <v>0.3</v>
      </c>
      <c r="N20" s="24">
        <v>1.0</v>
      </c>
      <c r="O20" s="24">
        <v>1.0</v>
      </c>
      <c r="P20" s="24">
        <v>0.02</v>
      </c>
      <c r="Q20" s="24">
        <v>3.44</v>
      </c>
      <c r="R20" s="24">
        <v>50.0</v>
      </c>
      <c r="S20" s="23" t="s">
        <v>77</v>
      </c>
      <c r="T20" s="23" t="s">
        <v>40</v>
      </c>
      <c r="U20" s="23" t="s">
        <v>41</v>
      </c>
      <c r="V20" s="23" t="s">
        <v>78</v>
      </c>
      <c r="W20" s="23" t="s">
        <v>43</v>
      </c>
      <c r="X20" s="29">
        <f t="shared" si="4"/>
        <v>1.524787524</v>
      </c>
      <c r="Y20" s="29">
        <f t="shared" si="5"/>
        <v>3.235936569</v>
      </c>
      <c r="Z20" s="29">
        <f t="shared" si="6"/>
        <v>1.279033296</v>
      </c>
      <c r="AA20" s="30">
        <f t="shared" ref="AA20:AB20" si="41">J20^0.11</f>
        <v>1.374295029</v>
      </c>
      <c r="AB20" s="30">
        <f t="shared" si="41"/>
        <v>1.096471424</v>
      </c>
      <c r="AC20" s="30">
        <f t="shared" si="8"/>
        <v>0.6502993195</v>
      </c>
      <c r="AD20" s="30">
        <f t="shared" ref="AD20:AE20" si="42">Q20^0.09</f>
        <v>1.117609951</v>
      </c>
      <c r="AE20" s="30">
        <f t="shared" si="42"/>
        <v>1.422025225</v>
      </c>
      <c r="AF20" s="31">
        <f t="shared" si="10"/>
        <v>9.828321017</v>
      </c>
    </row>
    <row r="21">
      <c r="B21" s="23" t="s">
        <v>73</v>
      </c>
      <c r="C21" s="23" t="s">
        <v>74</v>
      </c>
      <c r="D21" s="23" t="s">
        <v>32</v>
      </c>
      <c r="E21" s="23" t="s">
        <v>81</v>
      </c>
      <c r="F21" s="23" t="s">
        <v>82</v>
      </c>
      <c r="G21" s="24">
        <v>10.1</v>
      </c>
      <c r="H21" s="24">
        <v>128.0</v>
      </c>
      <c r="I21" s="24">
        <v>7.22</v>
      </c>
      <c r="J21" s="24">
        <v>15.0</v>
      </c>
      <c r="K21" s="27">
        <f t="shared" si="3"/>
        <v>2.29</v>
      </c>
      <c r="L21" s="24">
        <v>0.01</v>
      </c>
      <c r="M21" s="24">
        <v>0.28</v>
      </c>
      <c r="N21" s="24">
        <v>1.0</v>
      </c>
      <c r="O21" s="24">
        <v>1.0</v>
      </c>
      <c r="P21" s="24">
        <v>0.02</v>
      </c>
      <c r="Q21" s="24">
        <v>1.82</v>
      </c>
      <c r="R21" s="24">
        <v>100.0</v>
      </c>
      <c r="S21" s="23" t="s">
        <v>77</v>
      </c>
      <c r="T21" s="23" t="s">
        <v>40</v>
      </c>
      <c r="U21" s="23" t="s">
        <v>41</v>
      </c>
      <c r="V21" s="23" t="s">
        <v>78</v>
      </c>
      <c r="W21" s="23" t="s">
        <v>43</v>
      </c>
      <c r="X21" s="29">
        <f t="shared" si="4"/>
        <v>1.551747524</v>
      </c>
      <c r="Y21" s="29">
        <f t="shared" si="5"/>
        <v>2.281527432</v>
      </c>
      <c r="Z21" s="29">
        <f t="shared" si="6"/>
        <v>1.293033675</v>
      </c>
      <c r="AA21" s="30">
        <f t="shared" ref="AA21:AB21" si="43">J21^0.11</f>
        <v>1.347007576</v>
      </c>
      <c r="AB21" s="30">
        <f t="shared" si="43"/>
        <v>1.09542312</v>
      </c>
      <c r="AC21" s="30">
        <f t="shared" si="8"/>
        <v>0.6502993195</v>
      </c>
      <c r="AD21" s="30">
        <f t="shared" ref="AD21:AE21" si="44">Q21^0.09</f>
        <v>1.055374083</v>
      </c>
      <c r="AE21" s="30">
        <f t="shared" si="44"/>
        <v>1.513561248</v>
      </c>
      <c r="AF21" s="31">
        <f t="shared" si="10"/>
        <v>7.016624855</v>
      </c>
    </row>
    <row r="22" ht="15.75" customHeight="1">
      <c r="B22" s="23" t="s">
        <v>73</v>
      </c>
      <c r="C22" s="23" t="s">
        <v>74</v>
      </c>
      <c r="D22" s="23" t="s">
        <v>32</v>
      </c>
      <c r="E22" s="23" t="s">
        <v>83</v>
      </c>
      <c r="F22" s="23" t="s">
        <v>84</v>
      </c>
      <c r="G22" s="24">
        <v>9.0</v>
      </c>
      <c r="H22" s="24">
        <v>216.0</v>
      </c>
      <c r="I22" s="24">
        <v>6.57</v>
      </c>
      <c r="J22" s="24">
        <v>20.0</v>
      </c>
      <c r="K22" s="27">
        <f t="shared" si="3"/>
        <v>2.22</v>
      </c>
      <c r="L22" s="24">
        <v>0.01</v>
      </c>
      <c r="M22" s="24">
        <v>0.21</v>
      </c>
      <c r="N22" s="24">
        <v>1.0</v>
      </c>
      <c r="O22" s="24">
        <v>1.0</v>
      </c>
      <c r="P22" s="24">
        <v>0.02</v>
      </c>
      <c r="Q22" s="24">
        <v>6.31</v>
      </c>
      <c r="R22" s="24">
        <v>100.0</v>
      </c>
      <c r="S22" s="23" t="s">
        <v>77</v>
      </c>
      <c r="T22" s="23" t="s">
        <v>40</v>
      </c>
      <c r="U22" s="23" t="s">
        <v>41</v>
      </c>
      <c r="V22" s="23" t="s">
        <v>78</v>
      </c>
      <c r="W22" s="23" t="s">
        <v>43</v>
      </c>
      <c r="X22" s="29">
        <f t="shared" si="4"/>
        <v>1.518119913</v>
      </c>
      <c r="Y22" s="29">
        <f t="shared" si="5"/>
        <v>2.493774258</v>
      </c>
      <c r="Z22" s="29">
        <f t="shared" si="6"/>
        <v>1.277272312</v>
      </c>
      <c r="AA22" s="30">
        <f t="shared" ref="AA22:AB22" si="45">J22^0.11</f>
        <v>1.390315292</v>
      </c>
      <c r="AB22" s="30">
        <f t="shared" si="45"/>
        <v>1.091688731</v>
      </c>
      <c r="AC22" s="30">
        <f t="shared" si="8"/>
        <v>0.6502993195</v>
      </c>
      <c r="AD22" s="30">
        <f t="shared" ref="AD22:AE22" si="46">Q22^0.09</f>
        <v>1.180327817</v>
      </c>
      <c r="AE22" s="30">
        <f t="shared" si="46"/>
        <v>1.513561248</v>
      </c>
      <c r="AF22" s="31">
        <f t="shared" si="10"/>
        <v>8.526578232</v>
      </c>
    </row>
    <row r="23" ht="15.75" customHeight="1">
      <c r="B23" s="23" t="s">
        <v>73</v>
      </c>
      <c r="C23" s="23" t="s">
        <v>74</v>
      </c>
      <c r="D23" s="23" t="s">
        <v>32</v>
      </c>
      <c r="E23" s="33">
        <v>44993.0</v>
      </c>
      <c r="F23" s="23" t="s">
        <v>85</v>
      </c>
      <c r="G23" s="24">
        <v>9.3</v>
      </c>
      <c r="H23" s="24">
        <v>600.0</v>
      </c>
      <c r="I23" s="24">
        <v>6.75</v>
      </c>
      <c r="J23" s="24">
        <v>19.0</v>
      </c>
      <c r="K23" s="27">
        <f t="shared" si="3"/>
        <v>2.22</v>
      </c>
      <c r="L23" s="24">
        <v>0.01</v>
      </c>
      <c r="M23" s="24">
        <v>0.21</v>
      </c>
      <c r="N23" s="24">
        <v>1.0</v>
      </c>
      <c r="O23" s="24">
        <v>1.0</v>
      </c>
      <c r="P23" s="24">
        <v>0.02</v>
      </c>
      <c r="Q23" s="24">
        <v>4.03</v>
      </c>
      <c r="R23" s="24">
        <v>50.0</v>
      </c>
      <c r="S23" s="23" t="s">
        <v>77</v>
      </c>
      <c r="T23" s="23" t="s">
        <v>40</v>
      </c>
      <c r="U23" s="23" t="s">
        <v>41</v>
      </c>
      <c r="V23" s="23" t="s">
        <v>78</v>
      </c>
      <c r="W23" s="23" t="s">
        <v>43</v>
      </c>
      <c r="X23" s="29">
        <f t="shared" si="4"/>
        <v>1.527607424</v>
      </c>
      <c r="Y23" s="29">
        <f t="shared" si="5"/>
        <v>2.966782527</v>
      </c>
      <c r="Z23" s="29">
        <f t="shared" si="6"/>
        <v>1.281768193</v>
      </c>
      <c r="AA23" s="30">
        <f t="shared" ref="AA23:AB23" si="47">J23^0.11</f>
        <v>1.382492857</v>
      </c>
      <c r="AB23" s="30">
        <f t="shared" si="47"/>
        <v>1.091688731</v>
      </c>
      <c r="AC23" s="30">
        <f t="shared" si="8"/>
        <v>0.6502993195</v>
      </c>
      <c r="AD23" s="30">
        <f t="shared" ref="AD23:AE23" si="48">Q23^0.09</f>
        <v>1.133645985</v>
      </c>
      <c r="AE23" s="30">
        <f t="shared" si="48"/>
        <v>1.422025225</v>
      </c>
      <c r="AF23" s="31">
        <f t="shared" si="10"/>
        <v>9.191084113</v>
      </c>
    </row>
    <row r="24" ht="15.75" customHeight="1">
      <c r="B24" s="23" t="s">
        <v>73</v>
      </c>
      <c r="C24" s="23" t="s">
        <v>74</v>
      </c>
      <c r="D24" s="23" t="s">
        <v>32</v>
      </c>
      <c r="E24" s="23" t="s">
        <v>86</v>
      </c>
      <c r="F24" s="23" t="s">
        <v>87</v>
      </c>
      <c r="G24" s="24">
        <v>8.7</v>
      </c>
      <c r="H24" s="24">
        <v>860.0</v>
      </c>
      <c r="I24" s="24">
        <v>6.92</v>
      </c>
      <c r="J24" s="24">
        <v>19.0</v>
      </c>
      <c r="K24" s="27">
        <f t="shared" si="3"/>
        <v>2.27</v>
      </c>
      <c r="L24" s="24">
        <v>0.01</v>
      </c>
      <c r="M24" s="24">
        <v>0.26</v>
      </c>
      <c r="N24" s="24">
        <v>1.0</v>
      </c>
      <c r="O24" s="24">
        <v>1.0</v>
      </c>
      <c r="P24" s="24">
        <v>0.02</v>
      </c>
      <c r="Q24" s="24">
        <v>1.16</v>
      </c>
      <c r="R24" s="24">
        <v>50.0</v>
      </c>
      <c r="S24" s="23" t="s">
        <v>77</v>
      </c>
      <c r="T24" s="23" t="s">
        <v>40</v>
      </c>
      <c r="U24" s="23" t="s">
        <v>41</v>
      </c>
      <c r="V24" s="23" t="s">
        <v>78</v>
      </c>
      <c r="W24" s="23" t="s">
        <v>43</v>
      </c>
      <c r="X24" s="29">
        <f t="shared" si="4"/>
        <v>1.508372681</v>
      </c>
      <c r="Y24" s="29">
        <f t="shared" si="5"/>
        <v>3.154022134</v>
      </c>
      <c r="Z24" s="29">
        <f t="shared" si="6"/>
        <v>1.28591953</v>
      </c>
      <c r="AA24" s="30">
        <f t="shared" ref="AA24:AB24" si="49">J24^0.11</f>
        <v>1.382492857</v>
      </c>
      <c r="AB24" s="30">
        <f t="shared" si="49"/>
        <v>1.094366636</v>
      </c>
      <c r="AC24" s="30">
        <f t="shared" si="8"/>
        <v>0.6502993195</v>
      </c>
      <c r="AD24" s="30">
        <f t="shared" ref="AD24:AE24" si="50">Q24^0.09</f>
        <v>1.013447414</v>
      </c>
      <c r="AE24" s="30">
        <f t="shared" si="50"/>
        <v>1.422025225</v>
      </c>
      <c r="AF24" s="31">
        <f t="shared" si="10"/>
        <v>8.674306156</v>
      </c>
    </row>
    <row r="25" ht="15.75" customHeight="1">
      <c r="B25" s="23" t="s">
        <v>73</v>
      </c>
      <c r="C25" s="23" t="s">
        <v>74</v>
      </c>
      <c r="D25" s="23" t="s">
        <v>32</v>
      </c>
      <c r="E25" s="23" t="s">
        <v>88</v>
      </c>
      <c r="F25" s="23" t="s">
        <v>61</v>
      </c>
      <c r="G25" s="24">
        <v>9.2</v>
      </c>
      <c r="H25" s="24">
        <v>144.0</v>
      </c>
      <c r="I25" s="24">
        <v>6.99</v>
      </c>
      <c r="J25" s="24">
        <v>19.0</v>
      </c>
      <c r="K25" s="27">
        <f t="shared" si="3"/>
        <v>2.28</v>
      </c>
      <c r="L25" s="24">
        <v>0.01</v>
      </c>
      <c r="M25" s="24">
        <v>0.27</v>
      </c>
      <c r="N25" s="24">
        <v>1.0</v>
      </c>
      <c r="O25" s="24">
        <v>1.0</v>
      </c>
      <c r="P25" s="24">
        <v>0.02</v>
      </c>
      <c r="Q25" s="24">
        <v>1.0</v>
      </c>
      <c r="R25" s="24">
        <v>50.0</v>
      </c>
      <c r="S25" s="23" t="s">
        <v>77</v>
      </c>
      <c r="T25" s="23" t="s">
        <v>40</v>
      </c>
      <c r="U25" s="23" t="s">
        <v>41</v>
      </c>
      <c r="V25" s="23" t="s">
        <v>78</v>
      </c>
      <c r="W25" s="23" t="s">
        <v>43</v>
      </c>
      <c r="X25" s="29">
        <f t="shared" si="4"/>
        <v>1.524472825</v>
      </c>
      <c r="Y25" s="29">
        <f t="shared" si="5"/>
        <v>2.327671149</v>
      </c>
      <c r="Z25" s="29">
        <f t="shared" si="6"/>
        <v>1.287603157</v>
      </c>
      <c r="AA25" s="30">
        <f t="shared" ref="AA25:AB25" si="51">J25^0.11</f>
        <v>1.382492857</v>
      </c>
      <c r="AB25" s="30">
        <f t="shared" si="51"/>
        <v>1.094895909</v>
      </c>
      <c r="AC25" s="30">
        <f t="shared" si="8"/>
        <v>0.6502993195</v>
      </c>
      <c r="AD25" s="30">
        <f t="shared" ref="AD25:AE25" si="52">Q25^0.09</f>
        <v>1</v>
      </c>
      <c r="AE25" s="30">
        <f t="shared" si="52"/>
        <v>1.422025225</v>
      </c>
      <c r="AF25" s="31">
        <f t="shared" si="10"/>
        <v>6.395576129</v>
      </c>
    </row>
    <row r="26" ht="15.75" customHeight="1">
      <c r="B26" s="23" t="s">
        <v>73</v>
      </c>
      <c r="C26" s="23" t="s">
        <v>74</v>
      </c>
      <c r="D26" s="23" t="s">
        <v>32</v>
      </c>
      <c r="E26" s="23" t="s">
        <v>89</v>
      </c>
      <c r="F26" s="23" t="s">
        <v>90</v>
      </c>
      <c r="G26" s="24">
        <v>8.5</v>
      </c>
      <c r="H26" s="24">
        <v>208.0</v>
      </c>
      <c r="I26" s="24">
        <v>6.86</v>
      </c>
      <c r="J26" s="24">
        <v>22.0</v>
      </c>
      <c r="K26" s="27">
        <f t="shared" si="3"/>
        <v>2.33</v>
      </c>
      <c r="L26" s="24">
        <v>0.01</v>
      </c>
      <c r="M26" s="24">
        <v>0.32</v>
      </c>
      <c r="N26" s="24">
        <v>1.0</v>
      </c>
      <c r="O26" s="24">
        <v>1.0</v>
      </c>
      <c r="P26" s="24">
        <v>0.03</v>
      </c>
      <c r="Q26" s="24">
        <v>1.75</v>
      </c>
      <c r="R26" s="24">
        <v>50.0</v>
      </c>
      <c r="S26" s="23" t="s">
        <v>77</v>
      </c>
      <c r="T26" s="23" t="s">
        <v>40</v>
      </c>
      <c r="U26" s="23" t="s">
        <v>41</v>
      </c>
      <c r="V26" s="23" t="s">
        <v>78</v>
      </c>
      <c r="W26" s="23" t="s">
        <v>43</v>
      </c>
      <c r="X26" s="29">
        <f t="shared" si="4"/>
        <v>1.501722182</v>
      </c>
      <c r="Y26" s="29">
        <f t="shared" si="5"/>
        <v>2.477825779</v>
      </c>
      <c r="Z26" s="29">
        <f t="shared" si="6"/>
        <v>1.284464587</v>
      </c>
      <c r="AA26" s="30">
        <f t="shared" ref="AA26:AB26" si="53">J26^0.11</f>
        <v>1.404968201</v>
      </c>
      <c r="AB26" s="30">
        <f t="shared" si="53"/>
        <v>1.097511681</v>
      </c>
      <c r="AC26" s="30">
        <f t="shared" si="8"/>
        <v>0.6799599574</v>
      </c>
      <c r="AD26" s="30">
        <f t="shared" ref="AD26:AE26" si="54">Q26^0.09</f>
        <v>1.051655323</v>
      </c>
      <c r="AE26" s="30">
        <f t="shared" si="54"/>
        <v>1.422025225</v>
      </c>
      <c r="AF26" s="31">
        <f t="shared" si="10"/>
        <v>7.494146986</v>
      </c>
    </row>
    <row r="27" ht="15.75" customHeight="1">
      <c r="B27" s="23" t="s">
        <v>73</v>
      </c>
      <c r="C27" s="23" t="s">
        <v>74</v>
      </c>
      <c r="D27" s="23" t="s">
        <v>32</v>
      </c>
      <c r="E27" s="23" t="s">
        <v>91</v>
      </c>
      <c r="F27" s="23" t="s">
        <v>92</v>
      </c>
      <c r="G27" s="24">
        <v>8.8</v>
      </c>
      <c r="H27" s="24">
        <v>204.0</v>
      </c>
      <c r="I27" s="24">
        <v>6.61</v>
      </c>
      <c r="J27" s="24">
        <v>22.0</v>
      </c>
      <c r="K27" s="27">
        <f t="shared" si="3"/>
        <v>2.29</v>
      </c>
      <c r="L27" s="24">
        <v>0.01</v>
      </c>
      <c r="M27" s="24">
        <v>0.28</v>
      </c>
      <c r="N27" s="24">
        <v>1.0</v>
      </c>
      <c r="O27" s="24">
        <v>1.0</v>
      </c>
      <c r="P27" s="24">
        <v>0.04</v>
      </c>
      <c r="Q27" s="24">
        <v>4.24</v>
      </c>
      <c r="R27" s="24">
        <v>50.0</v>
      </c>
      <c r="S27" s="23" t="s">
        <v>77</v>
      </c>
      <c r="T27" s="23" t="s">
        <v>40</v>
      </c>
      <c r="U27" s="23" t="s">
        <v>41</v>
      </c>
      <c r="V27" s="23" t="s">
        <v>78</v>
      </c>
      <c r="W27" s="23" t="s">
        <v>43</v>
      </c>
      <c r="X27" s="29">
        <f t="shared" si="4"/>
        <v>1.511651599</v>
      </c>
      <c r="Y27" s="29">
        <f t="shared" si="5"/>
        <v>2.469659777</v>
      </c>
      <c r="Z27" s="29">
        <f t="shared" si="6"/>
        <v>1.278280576</v>
      </c>
      <c r="AA27" s="30">
        <f t="shared" ref="AA27:AB27" si="55">J27^0.11</f>
        <v>1.404968201</v>
      </c>
      <c r="AB27" s="30">
        <f t="shared" si="55"/>
        <v>1.09542312</v>
      </c>
      <c r="AC27" s="30">
        <f t="shared" si="8"/>
        <v>0.7018213877</v>
      </c>
      <c r="AD27" s="30">
        <f t="shared" ref="AD27:AE27" si="56">Q27^0.09</f>
        <v>1.138840562</v>
      </c>
      <c r="AE27" s="30">
        <f t="shared" si="56"/>
        <v>1.422025225</v>
      </c>
      <c r="AF27" s="31">
        <f t="shared" si="10"/>
        <v>8.347573475</v>
      </c>
    </row>
    <row r="28" ht="15.75" customHeight="1">
      <c r="B28" s="23" t="s">
        <v>73</v>
      </c>
      <c r="C28" s="23" t="s">
        <v>74</v>
      </c>
      <c r="D28" s="23" t="s">
        <v>32</v>
      </c>
      <c r="E28" s="23" t="s">
        <v>93</v>
      </c>
      <c r="F28" s="23" t="s">
        <v>94</v>
      </c>
      <c r="G28" s="24">
        <v>8.7</v>
      </c>
      <c r="H28" s="24">
        <v>232.0</v>
      </c>
      <c r="I28" s="24">
        <v>7.01</v>
      </c>
      <c r="J28" s="24">
        <v>20.0</v>
      </c>
      <c r="K28" s="27">
        <f t="shared" si="3"/>
        <v>2.27</v>
      </c>
      <c r="L28" s="24">
        <v>0.01</v>
      </c>
      <c r="M28" s="24">
        <v>0.26</v>
      </c>
      <c r="N28" s="24">
        <v>1.0</v>
      </c>
      <c r="O28" s="24">
        <v>1.0</v>
      </c>
      <c r="P28" s="24">
        <v>0.02</v>
      </c>
      <c r="Q28" s="24">
        <v>2.41</v>
      </c>
      <c r="R28" s="24">
        <v>74.0</v>
      </c>
      <c r="S28" s="23" t="s">
        <v>77</v>
      </c>
      <c r="T28" s="23" t="s">
        <v>40</v>
      </c>
      <c r="U28" s="23" t="s">
        <v>41</v>
      </c>
      <c r="V28" s="23" t="s">
        <v>78</v>
      </c>
      <c r="W28" s="23" t="s">
        <v>43</v>
      </c>
      <c r="X28" s="29">
        <f t="shared" si="4"/>
        <v>1.508372681</v>
      </c>
      <c r="Y28" s="29">
        <f t="shared" si="5"/>
        <v>2.524253444</v>
      </c>
      <c r="Z28" s="29">
        <f t="shared" si="6"/>
        <v>1.288081499</v>
      </c>
      <c r="AA28" s="30">
        <f t="shared" ref="AA28:AB28" si="57">J28^0.11</f>
        <v>1.390315292</v>
      </c>
      <c r="AB28" s="30">
        <f t="shared" si="57"/>
        <v>1.094366636</v>
      </c>
      <c r="AC28" s="30">
        <f t="shared" si="8"/>
        <v>0.6502993195</v>
      </c>
      <c r="AD28" s="30">
        <f t="shared" ref="AD28:AE28" si="58">Q28^0.09</f>
        <v>1.082384424</v>
      </c>
      <c r="AE28" s="30">
        <f t="shared" si="58"/>
        <v>1.473095337</v>
      </c>
      <c r="AF28" s="31">
        <f t="shared" si="10"/>
        <v>7.737252851</v>
      </c>
    </row>
    <row r="29" ht="15.75" customHeight="1">
      <c r="B29" s="23" t="s">
        <v>73</v>
      </c>
      <c r="C29" s="23" t="s">
        <v>74</v>
      </c>
      <c r="D29" s="23" t="s">
        <v>32</v>
      </c>
      <c r="E29" s="23" t="s">
        <v>95</v>
      </c>
      <c r="F29" s="23" t="s">
        <v>70</v>
      </c>
      <c r="G29" s="24">
        <v>9.6</v>
      </c>
      <c r="H29" s="24">
        <v>540.0</v>
      </c>
      <c r="I29" s="24">
        <v>6.08</v>
      </c>
      <c r="J29" s="24">
        <v>16.0</v>
      </c>
      <c r="K29" s="27">
        <f t="shared" si="3"/>
        <v>2.45</v>
      </c>
      <c r="L29" s="24">
        <v>0.01</v>
      </c>
      <c r="M29" s="24">
        <v>0.44</v>
      </c>
      <c r="N29" s="24">
        <v>1.0</v>
      </c>
      <c r="O29" s="24">
        <v>1.0</v>
      </c>
      <c r="P29" s="24">
        <v>0.02</v>
      </c>
      <c r="Q29" s="24">
        <v>13.2</v>
      </c>
      <c r="R29" s="24">
        <v>50.0</v>
      </c>
      <c r="S29" s="23" t="s">
        <v>77</v>
      </c>
      <c r="T29" s="23" t="s">
        <v>40</v>
      </c>
      <c r="U29" s="23" t="s">
        <v>41</v>
      </c>
      <c r="V29" s="23" t="s">
        <v>78</v>
      </c>
      <c r="W29" s="23" t="s">
        <v>43</v>
      </c>
      <c r="X29" s="29">
        <f t="shared" si="4"/>
        <v>1.536850187</v>
      </c>
      <c r="Y29" s="29">
        <f t="shared" si="5"/>
        <v>2.914116696</v>
      </c>
      <c r="Z29" s="29">
        <f t="shared" si="6"/>
        <v>1.2644669</v>
      </c>
      <c r="AA29" s="30">
        <f t="shared" ref="AA29:AB29" si="59">J29^0.11</f>
        <v>1.356604327</v>
      </c>
      <c r="AB29" s="30">
        <f t="shared" si="59"/>
        <v>1.103591303</v>
      </c>
      <c r="AC29" s="30">
        <f t="shared" si="8"/>
        <v>0.6502993195</v>
      </c>
      <c r="AD29" s="30">
        <f t="shared" ref="AD29:AE29" si="60">Q29^0.09</f>
        <v>1.261396593</v>
      </c>
      <c r="AE29" s="30">
        <f t="shared" si="60"/>
        <v>1.422025225</v>
      </c>
      <c r="AF29" s="31">
        <f t="shared" si="10"/>
        <v>9.88962126</v>
      </c>
    </row>
    <row r="30" ht="15.75" customHeight="1">
      <c r="B30" s="23" t="s">
        <v>73</v>
      </c>
      <c r="C30" s="23" t="s">
        <v>74</v>
      </c>
      <c r="D30" s="23" t="s">
        <v>32</v>
      </c>
      <c r="E30" s="23" t="s">
        <v>96</v>
      </c>
      <c r="F30" s="23" t="s">
        <v>97</v>
      </c>
      <c r="G30" s="24">
        <v>8.8</v>
      </c>
      <c r="H30" s="24">
        <v>800.0</v>
      </c>
      <c r="I30" s="24">
        <v>6.69</v>
      </c>
      <c r="J30" s="24">
        <v>20.0</v>
      </c>
      <c r="K30" s="27">
        <f t="shared" si="3"/>
        <v>2.34</v>
      </c>
      <c r="L30" s="24">
        <v>0.01</v>
      </c>
      <c r="M30" s="24">
        <v>0.33</v>
      </c>
      <c r="N30" s="24">
        <v>1.0</v>
      </c>
      <c r="O30" s="24">
        <v>1.0</v>
      </c>
      <c r="P30" s="24">
        <v>0.02</v>
      </c>
      <c r="Q30" s="24">
        <v>1.22</v>
      </c>
      <c r="R30" s="24">
        <v>50.0</v>
      </c>
      <c r="S30" s="23" t="s">
        <v>77</v>
      </c>
      <c r="T30" s="23" t="s">
        <v>40</v>
      </c>
      <c r="U30" s="23" t="s">
        <v>41</v>
      </c>
      <c r="V30" s="23" t="s">
        <v>78</v>
      </c>
      <c r="W30" s="23" t="s">
        <v>43</v>
      </c>
      <c r="X30" s="29">
        <f t="shared" si="4"/>
        <v>1.511651599</v>
      </c>
      <c r="Y30" s="29">
        <f t="shared" si="5"/>
        <v>3.115482369</v>
      </c>
      <c r="Z30" s="29">
        <f t="shared" si="6"/>
        <v>1.28028128</v>
      </c>
      <c r="AA30" s="30">
        <f t="shared" ref="AA30:AB30" si="61">J30^0.11</f>
        <v>1.390315292</v>
      </c>
      <c r="AB30" s="30">
        <f t="shared" si="61"/>
        <v>1.098028833</v>
      </c>
      <c r="AC30" s="30">
        <f t="shared" si="8"/>
        <v>0.6502993195</v>
      </c>
      <c r="AD30" s="30">
        <f t="shared" ref="AD30:AE30" si="62">Q30^0.09</f>
        <v>1.018057681</v>
      </c>
      <c r="AE30" s="30">
        <f t="shared" si="62"/>
        <v>1.422025225</v>
      </c>
      <c r="AF30" s="31">
        <f t="shared" si="10"/>
        <v>8.665675643</v>
      </c>
    </row>
    <row r="31" ht="15.75" customHeight="1">
      <c r="B31" s="23" t="s">
        <v>73</v>
      </c>
      <c r="C31" s="23" t="s">
        <v>74</v>
      </c>
      <c r="D31" s="23" t="s">
        <v>32</v>
      </c>
      <c r="E31" s="23" t="s">
        <v>98</v>
      </c>
      <c r="F31" s="23" t="s">
        <v>99</v>
      </c>
      <c r="G31" s="24">
        <v>9.1</v>
      </c>
      <c r="H31" s="24">
        <v>220.0</v>
      </c>
      <c r="I31" s="24">
        <v>7.1</v>
      </c>
      <c r="J31" s="24">
        <v>24.0</v>
      </c>
      <c r="K31" s="27">
        <f t="shared" si="3"/>
        <v>2.25</v>
      </c>
      <c r="L31" s="24">
        <v>0.01</v>
      </c>
      <c r="M31" s="24">
        <v>0.24</v>
      </c>
      <c r="N31" s="24">
        <v>1.0</v>
      </c>
      <c r="O31" s="24">
        <v>1.0</v>
      </c>
      <c r="P31" s="24">
        <v>0.02</v>
      </c>
      <c r="Q31" s="24">
        <v>1.22</v>
      </c>
      <c r="R31" s="24">
        <v>102.0</v>
      </c>
      <c r="S31" s="23" t="s">
        <v>77</v>
      </c>
      <c r="T31" s="23" t="s">
        <v>40</v>
      </c>
      <c r="U31" s="23" t="s">
        <v>41</v>
      </c>
      <c r="V31" s="23" t="s">
        <v>78</v>
      </c>
      <c r="W31" s="23" t="s">
        <v>43</v>
      </c>
      <c r="X31" s="29">
        <f t="shared" si="4"/>
        <v>1.521310506</v>
      </c>
      <c r="Y31" s="29">
        <f t="shared" si="5"/>
        <v>2.501565367</v>
      </c>
      <c r="Z31" s="29">
        <f t="shared" si="6"/>
        <v>1.290219452</v>
      </c>
      <c r="AA31" s="30">
        <f t="shared" ref="AA31:AB31" si="63">J31^0.11</f>
        <v>1.418480065</v>
      </c>
      <c r="AB31" s="30">
        <f t="shared" si="63"/>
        <v>1.093301835</v>
      </c>
      <c r="AC31" s="30">
        <f t="shared" si="8"/>
        <v>0.6502993195</v>
      </c>
      <c r="AD31" s="30">
        <f t="shared" ref="AD31:AE31" si="64">Q31^0.09</f>
        <v>1.018057681</v>
      </c>
      <c r="AE31" s="30">
        <f t="shared" si="64"/>
        <v>1.516261178</v>
      </c>
      <c r="AF31" s="31">
        <f t="shared" si="10"/>
        <v>7.64392327</v>
      </c>
    </row>
    <row r="32" ht="15.75" customHeight="1">
      <c r="B32" s="23" t="s">
        <v>73</v>
      </c>
      <c r="C32" s="23" t="s">
        <v>74</v>
      </c>
      <c r="D32" s="23" t="s">
        <v>32</v>
      </c>
      <c r="E32" s="23" t="s">
        <v>100</v>
      </c>
      <c r="F32" s="23" t="s">
        <v>101</v>
      </c>
      <c r="G32" s="24">
        <v>8.9</v>
      </c>
      <c r="H32" s="24">
        <v>124.0</v>
      </c>
      <c r="I32" s="24">
        <v>6.87</v>
      </c>
      <c r="J32" s="24">
        <v>20.0</v>
      </c>
      <c r="K32" s="27">
        <f t="shared" si="3"/>
        <v>2.32</v>
      </c>
      <c r="L32" s="24">
        <v>0.01</v>
      </c>
      <c r="M32" s="24">
        <v>0.31</v>
      </c>
      <c r="N32" s="24">
        <v>1.0</v>
      </c>
      <c r="O32" s="24">
        <v>1.0</v>
      </c>
      <c r="P32" s="24">
        <v>0.02</v>
      </c>
      <c r="Q32" s="24">
        <v>1.37</v>
      </c>
      <c r="R32" s="24">
        <v>60.0</v>
      </c>
      <c r="S32" s="23" t="s">
        <v>77</v>
      </c>
      <c r="T32" s="23" t="s">
        <v>40</v>
      </c>
      <c r="U32" s="23" t="s">
        <v>41</v>
      </c>
      <c r="V32" s="23" t="s">
        <v>78</v>
      </c>
      <c r="W32" s="23" t="s">
        <v>43</v>
      </c>
      <c r="X32" s="29">
        <f t="shared" si="4"/>
        <v>1.514900473</v>
      </c>
      <c r="Y32" s="29">
        <f t="shared" si="5"/>
        <v>2.269246564</v>
      </c>
      <c r="Z32" s="29">
        <f t="shared" si="6"/>
        <v>1.284707844</v>
      </c>
      <c r="AA32" s="30">
        <f t="shared" ref="AA32:AB32" si="65">J32^0.11</f>
        <v>1.390315292</v>
      </c>
      <c r="AB32" s="30">
        <f t="shared" si="65"/>
        <v>1.09699255</v>
      </c>
      <c r="AC32" s="30">
        <f t="shared" si="8"/>
        <v>0.6502993195</v>
      </c>
      <c r="AD32" s="30">
        <f t="shared" ref="AD32:AE32" si="66">Q32^0.09</f>
        <v>1.028738163</v>
      </c>
      <c r="AE32" s="30">
        <f t="shared" si="66"/>
        <v>1.445551646</v>
      </c>
      <c r="AF32" s="31">
        <f t="shared" si="10"/>
        <v>6.513867264</v>
      </c>
    </row>
    <row r="33" ht="15.75" customHeight="1">
      <c r="B33" s="23" t="s">
        <v>73</v>
      </c>
      <c r="C33" s="23" t="s">
        <v>74</v>
      </c>
      <c r="D33" s="23" t="s">
        <v>32</v>
      </c>
      <c r="E33" s="23" t="s">
        <v>102</v>
      </c>
      <c r="F33" s="23" t="s">
        <v>59</v>
      </c>
      <c r="G33" s="24">
        <v>9.98</v>
      </c>
      <c r="H33" s="24">
        <v>132.0</v>
      </c>
      <c r="I33" s="24">
        <v>7.34</v>
      </c>
      <c r="J33" s="24">
        <v>21.0</v>
      </c>
      <c r="K33" s="27">
        <f t="shared" si="3"/>
        <v>2.24</v>
      </c>
      <c r="L33" s="24">
        <v>0.01</v>
      </c>
      <c r="M33" s="24">
        <v>0.23</v>
      </c>
      <c r="N33" s="24">
        <v>1.0</v>
      </c>
      <c r="O33" s="24">
        <v>1.0</v>
      </c>
      <c r="P33" s="24">
        <v>0.02</v>
      </c>
      <c r="Q33" s="24">
        <v>1.02</v>
      </c>
      <c r="R33" s="24">
        <v>50.0</v>
      </c>
      <c r="S33" s="23" t="s">
        <v>77</v>
      </c>
      <c r="T33" s="23" t="s">
        <v>40</v>
      </c>
      <c r="U33" s="23" t="s">
        <v>41</v>
      </c>
      <c r="V33" s="23" t="s">
        <v>78</v>
      </c>
      <c r="W33" s="23" t="s">
        <v>43</v>
      </c>
      <c r="X33" s="29">
        <f t="shared" si="4"/>
        <v>1.548227591</v>
      </c>
      <c r="Y33" s="29">
        <f t="shared" si="5"/>
        <v>2.293493789</v>
      </c>
      <c r="Z33" s="29">
        <f t="shared" si="6"/>
        <v>1.295807496</v>
      </c>
      <c r="AA33" s="30">
        <f t="shared" ref="AA33:AB33" si="67">J33^0.11</f>
        <v>1.397797059</v>
      </c>
      <c r="AB33" s="30">
        <f t="shared" si="67"/>
        <v>1.092766272</v>
      </c>
      <c r="AC33" s="30">
        <f t="shared" si="8"/>
        <v>0.6502993195</v>
      </c>
      <c r="AD33" s="30">
        <f t="shared" ref="AD33:AE33" si="68">Q33^0.09</f>
        <v>1.001783826</v>
      </c>
      <c r="AE33" s="30">
        <f t="shared" si="68"/>
        <v>1.422025225</v>
      </c>
      <c r="AF33" s="31">
        <f t="shared" si="10"/>
        <v>6.510867822</v>
      </c>
    </row>
    <row r="34" ht="15.75" customHeight="1">
      <c r="B34" s="23" t="s">
        <v>73</v>
      </c>
      <c r="C34" s="23" t="s">
        <v>74</v>
      </c>
      <c r="D34" s="23" t="s">
        <v>32</v>
      </c>
      <c r="E34" s="23" t="s">
        <v>103</v>
      </c>
      <c r="F34" s="23" t="s">
        <v>104</v>
      </c>
      <c r="G34" s="24">
        <v>8.03</v>
      </c>
      <c r="H34" s="24">
        <v>46.0</v>
      </c>
      <c r="I34" s="24">
        <v>6.84</v>
      </c>
      <c r="J34" s="24">
        <v>22.0</v>
      </c>
      <c r="K34" s="27">
        <f t="shared" si="3"/>
        <v>2.29</v>
      </c>
      <c r="L34" s="24">
        <v>0.01</v>
      </c>
      <c r="M34" s="24">
        <v>0.28</v>
      </c>
      <c r="N34" s="24">
        <v>1.0</v>
      </c>
      <c r="O34" s="24">
        <v>1.0</v>
      </c>
      <c r="P34" s="24">
        <v>0.02</v>
      </c>
      <c r="Q34" s="24">
        <v>1.03</v>
      </c>
      <c r="R34" s="24">
        <v>50.0</v>
      </c>
      <c r="S34" s="23" t="s">
        <v>77</v>
      </c>
      <c r="T34" s="23" t="s">
        <v>40</v>
      </c>
      <c r="U34" s="23" t="s">
        <v>41</v>
      </c>
      <c r="V34" s="23" t="s">
        <v>78</v>
      </c>
      <c r="W34" s="23" t="s">
        <v>43</v>
      </c>
      <c r="X34" s="29">
        <f t="shared" si="4"/>
        <v>1.485579691</v>
      </c>
      <c r="Y34" s="29">
        <f t="shared" si="5"/>
        <v>1.917206229</v>
      </c>
      <c r="Z34" s="29">
        <f t="shared" si="6"/>
        <v>1.283977145</v>
      </c>
      <c r="AA34" s="30">
        <f t="shared" ref="AA34:AB34" si="69">J34^0.11</f>
        <v>1.404968201</v>
      </c>
      <c r="AB34" s="30">
        <f t="shared" si="69"/>
        <v>1.09542312</v>
      </c>
      <c r="AC34" s="30">
        <f t="shared" si="8"/>
        <v>0.6502993195</v>
      </c>
      <c r="AD34" s="30">
        <f t="shared" ref="AD34:AE34" si="70">Q34^0.09</f>
        <v>1.002663834</v>
      </c>
      <c r="AE34" s="30">
        <f t="shared" si="70"/>
        <v>1.422025225</v>
      </c>
      <c r="AF34" s="31">
        <f t="shared" si="10"/>
        <v>5.218508874</v>
      </c>
    </row>
    <row r="35" ht="15.75" customHeight="1">
      <c r="B35" s="23" t="s">
        <v>105</v>
      </c>
      <c r="C35" s="23" t="s">
        <v>106</v>
      </c>
      <c r="D35" s="23" t="s">
        <v>32</v>
      </c>
      <c r="E35" s="23" t="s">
        <v>107</v>
      </c>
      <c r="F35" s="23" t="s">
        <v>108</v>
      </c>
      <c r="G35" s="24">
        <v>1.9</v>
      </c>
      <c r="H35" s="24">
        <v>460000.0</v>
      </c>
      <c r="I35" s="24">
        <v>7.25</v>
      </c>
      <c r="J35" s="24">
        <v>27.0</v>
      </c>
      <c r="K35" s="27">
        <f t="shared" si="3"/>
        <v>15.85</v>
      </c>
      <c r="L35" s="24">
        <v>0.19</v>
      </c>
      <c r="M35" s="24">
        <v>0.69</v>
      </c>
      <c r="N35" s="24">
        <v>9.19</v>
      </c>
      <c r="O35" s="24">
        <v>5.78</v>
      </c>
      <c r="P35" s="24">
        <v>1.14</v>
      </c>
      <c r="Q35" s="24">
        <v>15.4</v>
      </c>
      <c r="R35" s="24">
        <v>226.0</v>
      </c>
      <c r="S35" s="23" t="s">
        <v>109</v>
      </c>
      <c r="T35" s="23" t="s">
        <v>40</v>
      </c>
      <c r="U35" s="23" t="s">
        <v>110</v>
      </c>
      <c r="V35" s="23" t="s">
        <v>111</v>
      </c>
      <c r="W35" s="23" t="s">
        <v>43</v>
      </c>
      <c r="X35" s="29">
        <f t="shared" si="4"/>
        <v>1.129700144</v>
      </c>
      <c r="Y35" s="29">
        <f t="shared" si="5"/>
        <v>9.176325945</v>
      </c>
      <c r="Z35" s="29">
        <f t="shared" si="6"/>
        <v>1.293730869</v>
      </c>
      <c r="AA35" s="30">
        <f t="shared" ref="AA35:AB35" si="71">J35^0.11</f>
        <v>1.436977652</v>
      </c>
      <c r="AB35" s="30">
        <f t="shared" si="71"/>
        <v>1.355199458</v>
      </c>
      <c r="AC35" s="30">
        <f t="shared" si="8"/>
        <v>1.014517479</v>
      </c>
      <c r="AD35" s="30">
        <f t="shared" ref="AD35:AE35" si="72">Q35^0.09</f>
        <v>1.279018614</v>
      </c>
      <c r="AE35" s="30">
        <f t="shared" si="72"/>
        <v>1.628807497</v>
      </c>
      <c r="AF35" s="31">
        <f t="shared" si="10"/>
        <v>55.19952592</v>
      </c>
    </row>
    <row r="36" ht="15.75" customHeight="1">
      <c r="B36" s="23" t="s">
        <v>105</v>
      </c>
      <c r="C36" s="23" t="s">
        <v>106</v>
      </c>
      <c r="D36" s="23" t="s">
        <v>32</v>
      </c>
      <c r="E36" s="23" t="s">
        <v>112</v>
      </c>
      <c r="F36" s="23" t="s">
        <v>113</v>
      </c>
      <c r="G36" s="24">
        <v>1.5</v>
      </c>
      <c r="H36" s="24">
        <v>180000.0</v>
      </c>
      <c r="I36" s="24">
        <v>6.85</v>
      </c>
      <c r="J36" s="24">
        <v>20.0</v>
      </c>
      <c r="K36" s="27">
        <f t="shared" si="3"/>
        <v>12.99</v>
      </c>
      <c r="L36" s="24">
        <v>0.2</v>
      </c>
      <c r="M36" s="24">
        <v>0.84</v>
      </c>
      <c r="N36" s="24">
        <v>6.27</v>
      </c>
      <c r="O36" s="24">
        <v>5.68</v>
      </c>
      <c r="P36" s="24">
        <v>0.78</v>
      </c>
      <c r="Q36" s="24">
        <v>6.31</v>
      </c>
      <c r="R36" s="24">
        <v>856.0</v>
      </c>
      <c r="S36" s="23" t="s">
        <v>109</v>
      </c>
      <c r="T36" s="23" t="s">
        <v>40</v>
      </c>
      <c r="U36" s="23" t="s">
        <v>110</v>
      </c>
      <c r="V36" s="23" t="s">
        <v>111</v>
      </c>
      <c r="W36" s="23" t="s">
        <v>43</v>
      </c>
      <c r="X36" s="29">
        <f t="shared" si="4"/>
        <v>1.080083519</v>
      </c>
      <c r="Y36" s="29">
        <f t="shared" si="5"/>
        <v>7.823414234</v>
      </c>
      <c r="Z36" s="29">
        <f t="shared" si="6"/>
        <v>1.28422102</v>
      </c>
      <c r="AA36" s="30">
        <f t="shared" ref="AA36:AB36" si="73">J36^0.11</f>
        <v>1.390315292</v>
      </c>
      <c r="AB36" s="30">
        <f t="shared" si="73"/>
        <v>1.325857979</v>
      </c>
      <c r="AC36" s="30">
        <f t="shared" si="8"/>
        <v>0.973039356</v>
      </c>
      <c r="AD36" s="30">
        <f t="shared" ref="AD36:AE36" si="74">Q36^0.09</f>
        <v>1.180327817</v>
      </c>
      <c r="AE36" s="30">
        <f t="shared" si="74"/>
        <v>1.836211229</v>
      </c>
      <c r="AF36" s="31">
        <f t="shared" si="10"/>
        <v>42.185134</v>
      </c>
    </row>
    <row r="37" ht="15.75" customHeight="1">
      <c r="B37" s="23" t="s">
        <v>105</v>
      </c>
      <c r="C37" s="23" t="s">
        <v>106</v>
      </c>
      <c r="D37" s="23" t="s">
        <v>32</v>
      </c>
      <c r="E37" s="23" t="s">
        <v>114</v>
      </c>
      <c r="F37" s="23" t="s">
        <v>115</v>
      </c>
      <c r="G37" s="24">
        <v>6.5</v>
      </c>
      <c r="H37" s="24">
        <v>27000.0</v>
      </c>
      <c r="I37" s="24">
        <v>7.62</v>
      </c>
      <c r="J37" s="24">
        <v>18.0</v>
      </c>
      <c r="K37" s="27">
        <f t="shared" si="3"/>
        <v>6.297</v>
      </c>
      <c r="L37" s="24">
        <v>0.067</v>
      </c>
      <c r="M37" s="24">
        <v>1.36</v>
      </c>
      <c r="N37" s="24">
        <v>3.13</v>
      </c>
      <c r="O37" s="24">
        <v>1.74</v>
      </c>
      <c r="P37" s="24">
        <v>0.39</v>
      </c>
      <c r="Q37" s="24">
        <v>7.18</v>
      </c>
      <c r="R37" s="24">
        <v>162.0</v>
      </c>
      <c r="S37" s="23" t="s">
        <v>109</v>
      </c>
      <c r="T37" s="23" t="s">
        <v>40</v>
      </c>
      <c r="U37" s="23" t="s">
        <v>110</v>
      </c>
      <c r="V37" s="23" t="s">
        <v>111</v>
      </c>
      <c r="W37" s="23" t="s">
        <v>43</v>
      </c>
      <c r="X37" s="29">
        <f t="shared" si="4"/>
        <v>1.427097146</v>
      </c>
      <c r="Y37" s="29">
        <f t="shared" si="5"/>
        <v>5.666721119</v>
      </c>
      <c r="Z37" s="29">
        <f t="shared" si="6"/>
        <v>1.302129405</v>
      </c>
      <c r="AA37" s="30">
        <f t="shared" ref="AA37:AB37" si="75">J37^0.11</f>
        <v>1.374295029</v>
      </c>
      <c r="AB37" s="30">
        <f t="shared" si="75"/>
        <v>1.224347521</v>
      </c>
      <c r="AC37" s="30">
        <f t="shared" si="8"/>
        <v>0.901606651</v>
      </c>
      <c r="AD37" s="30">
        <f t="shared" ref="AD37:AE37" si="76">Q37^0.09</f>
        <v>1.194128875</v>
      </c>
      <c r="AE37" s="30">
        <f t="shared" si="76"/>
        <v>1.580725107</v>
      </c>
      <c r="AF37" s="31">
        <f t="shared" si="10"/>
        <v>30.1542731</v>
      </c>
    </row>
    <row r="38" ht="15.75" customHeight="1">
      <c r="B38" s="23" t="s">
        <v>105</v>
      </c>
      <c r="C38" s="23" t="s">
        <v>106</v>
      </c>
      <c r="D38" s="23" t="s">
        <v>32</v>
      </c>
      <c r="E38" s="23" t="s">
        <v>116</v>
      </c>
      <c r="F38" s="23" t="s">
        <v>117</v>
      </c>
      <c r="G38" s="24">
        <v>4.2</v>
      </c>
      <c r="H38" s="24">
        <v>2800.0</v>
      </c>
      <c r="I38" s="24">
        <v>6.93</v>
      </c>
      <c r="J38" s="24">
        <v>23.0</v>
      </c>
      <c r="K38" s="27">
        <f t="shared" si="3"/>
        <v>11.53</v>
      </c>
      <c r="L38" s="24">
        <v>0.1</v>
      </c>
      <c r="M38" s="24">
        <v>1.5</v>
      </c>
      <c r="N38" s="24">
        <v>5.95</v>
      </c>
      <c r="O38" s="24">
        <v>3.98</v>
      </c>
      <c r="P38" s="24">
        <v>0.62</v>
      </c>
      <c r="Q38" s="24">
        <v>6.0</v>
      </c>
      <c r="R38" s="24">
        <v>186.0</v>
      </c>
      <c r="S38" s="23" t="s">
        <v>109</v>
      </c>
      <c r="T38" s="23" t="s">
        <v>40</v>
      </c>
      <c r="U38" s="23" t="s">
        <v>110</v>
      </c>
      <c r="V38" s="23" t="s">
        <v>111</v>
      </c>
      <c r="W38" s="23" t="s">
        <v>43</v>
      </c>
      <c r="X38" s="29">
        <f t="shared" si="4"/>
        <v>1.313461554</v>
      </c>
      <c r="Y38" s="29">
        <f t="shared" si="5"/>
        <v>3.854933276</v>
      </c>
      <c r="Z38" s="29">
        <f t="shared" si="6"/>
        <v>1.286160953</v>
      </c>
      <c r="AA38" s="30">
        <f t="shared" ref="AA38:AB38" si="77">J38^0.11</f>
        <v>1.411854889</v>
      </c>
      <c r="AB38" s="30">
        <f t="shared" si="77"/>
        <v>1.308582849</v>
      </c>
      <c r="AC38" s="30">
        <f t="shared" si="8"/>
        <v>0.9487746794</v>
      </c>
      <c r="AD38" s="30">
        <f t="shared" ref="AD38:AE38" si="78">Q38^0.09</f>
        <v>1.174988491</v>
      </c>
      <c r="AE38" s="30">
        <f t="shared" si="78"/>
        <v>1.600501793</v>
      </c>
      <c r="AF38" s="31">
        <f t="shared" si="10"/>
        <v>21.46711586</v>
      </c>
    </row>
    <row r="39" ht="15.75" customHeight="1">
      <c r="B39" s="23" t="s">
        <v>105</v>
      </c>
      <c r="C39" s="23" t="s">
        <v>106</v>
      </c>
      <c r="D39" s="23" t="s">
        <v>32</v>
      </c>
      <c r="E39" s="23" t="s">
        <v>118</v>
      </c>
      <c r="F39" s="23" t="s">
        <v>119</v>
      </c>
      <c r="G39" s="24">
        <v>2.6</v>
      </c>
      <c r="H39" s="24">
        <v>150000.0</v>
      </c>
      <c r="I39" s="24">
        <v>7.22</v>
      </c>
      <c r="J39" s="24">
        <v>22.0</v>
      </c>
      <c r="K39" s="27">
        <f t="shared" si="3"/>
        <v>12.966</v>
      </c>
      <c r="L39" s="24">
        <v>0.096</v>
      </c>
      <c r="M39" s="24">
        <v>0.54</v>
      </c>
      <c r="N39" s="24">
        <v>6.94</v>
      </c>
      <c r="O39" s="24">
        <v>5.39</v>
      </c>
      <c r="P39" s="24">
        <v>0.78</v>
      </c>
      <c r="Q39" s="24">
        <v>7.17</v>
      </c>
      <c r="R39" s="24">
        <v>734.0</v>
      </c>
      <c r="S39" s="23" t="s">
        <v>109</v>
      </c>
      <c r="T39" s="23" t="s">
        <v>40</v>
      </c>
      <c r="U39" s="23" t="s">
        <v>110</v>
      </c>
      <c r="V39" s="23" t="s">
        <v>111</v>
      </c>
      <c r="W39" s="23" t="s">
        <v>43</v>
      </c>
      <c r="X39" s="29">
        <f t="shared" si="4"/>
        <v>1.199071101</v>
      </c>
      <c r="Y39" s="29">
        <f t="shared" si="5"/>
        <v>7.584649464</v>
      </c>
      <c r="Z39" s="29">
        <f t="shared" si="6"/>
        <v>1.293033675</v>
      </c>
      <c r="AA39" s="30">
        <f t="shared" ref="AA39:AB39" si="79">J39^0.11</f>
        <v>1.404968201</v>
      </c>
      <c r="AB39" s="30">
        <f t="shared" si="79"/>
        <v>1.325588299</v>
      </c>
      <c r="AC39" s="30">
        <f t="shared" si="8"/>
        <v>0.973039356</v>
      </c>
      <c r="AD39" s="30">
        <f t="shared" ref="AD39:AE39" si="80">Q39^0.09</f>
        <v>1.193979098</v>
      </c>
      <c r="AE39" s="30">
        <f t="shared" si="80"/>
        <v>1.810975794</v>
      </c>
      <c r="AF39" s="31">
        <f t="shared" si="10"/>
        <v>46.07923054</v>
      </c>
    </row>
    <row r="40" ht="15.75" customHeight="1">
      <c r="B40" s="23" t="s">
        <v>105</v>
      </c>
      <c r="C40" s="23" t="s">
        <v>106</v>
      </c>
      <c r="D40" s="23" t="s">
        <v>32</v>
      </c>
      <c r="E40" s="23" t="s">
        <v>120</v>
      </c>
      <c r="F40" s="23" t="s">
        <v>121</v>
      </c>
      <c r="G40" s="24">
        <v>3.0</v>
      </c>
      <c r="H40" s="24">
        <v>160000.0</v>
      </c>
      <c r="I40" s="24">
        <v>6.78</v>
      </c>
      <c r="J40" s="24">
        <v>21.0</v>
      </c>
      <c r="K40" s="27">
        <f t="shared" si="3"/>
        <v>5.2</v>
      </c>
      <c r="L40" s="24">
        <v>0.01</v>
      </c>
      <c r="M40" s="24">
        <v>0.1</v>
      </c>
      <c r="N40" s="24">
        <v>2.92</v>
      </c>
      <c r="O40" s="24">
        <v>2.17</v>
      </c>
      <c r="P40" s="24">
        <v>0.67</v>
      </c>
      <c r="Q40" s="24">
        <v>10.4</v>
      </c>
      <c r="R40" s="24">
        <v>17200.0</v>
      </c>
      <c r="S40" s="23" t="s">
        <v>109</v>
      </c>
      <c r="T40" s="23" t="s">
        <v>40</v>
      </c>
      <c r="U40" s="23" t="s">
        <v>110</v>
      </c>
      <c r="V40" s="23" t="s">
        <v>111</v>
      </c>
      <c r="W40" s="23" t="s">
        <v>43</v>
      </c>
      <c r="X40" s="29">
        <f t="shared" si="4"/>
        <v>1.232120089</v>
      </c>
      <c r="Y40" s="29">
        <f t="shared" si="5"/>
        <v>7.668322989</v>
      </c>
      <c r="Z40" s="29">
        <f t="shared" si="6"/>
        <v>1.282507343</v>
      </c>
      <c r="AA40" s="30">
        <f t="shared" ref="AA40:AB40" si="81">J40^0.11</f>
        <v>1.397797059</v>
      </c>
      <c r="AB40" s="30">
        <f t="shared" si="81"/>
        <v>1.198837634</v>
      </c>
      <c r="AC40" s="30">
        <f t="shared" si="8"/>
        <v>0.9569036878</v>
      </c>
      <c r="AD40" s="30">
        <f t="shared" ref="AD40:AE40" si="82">Q40^0.09</f>
        <v>1.234619126</v>
      </c>
      <c r="AE40" s="30">
        <f t="shared" si="82"/>
        <v>2.405456792</v>
      </c>
      <c r="AF40" s="31">
        <f t="shared" si="10"/>
        <v>57.70541583</v>
      </c>
    </row>
    <row r="41" ht="15.75" customHeight="1">
      <c r="B41" s="23" t="s">
        <v>105</v>
      </c>
      <c r="C41" s="23" t="s">
        <v>106</v>
      </c>
      <c r="D41" s="23" t="s">
        <v>32</v>
      </c>
      <c r="E41" s="23" t="s">
        <v>122</v>
      </c>
      <c r="F41" s="23" t="s">
        <v>123</v>
      </c>
      <c r="G41" s="24">
        <v>1.9</v>
      </c>
      <c r="H41" s="24">
        <v>340000.0</v>
      </c>
      <c r="I41" s="24">
        <v>7.44</v>
      </c>
      <c r="J41" s="24">
        <v>25.0</v>
      </c>
      <c r="K41" s="27">
        <f t="shared" si="3"/>
        <v>24.976</v>
      </c>
      <c r="L41" s="24">
        <v>0.076</v>
      </c>
      <c r="M41" s="24">
        <v>0.2</v>
      </c>
      <c r="N41" s="24">
        <v>13.6</v>
      </c>
      <c r="O41" s="24">
        <v>11.1</v>
      </c>
      <c r="P41" s="24">
        <v>1.53</v>
      </c>
      <c r="Q41" s="24">
        <v>10.0</v>
      </c>
      <c r="R41" s="24">
        <v>350.0</v>
      </c>
      <c r="S41" s="23" t="s">
        <v>109</v>
      </c>
      <c r="T41" s="23" t="s">
        <v>40</v>
      </c>
      <c r="U41" s="23" t="s">
        <v>110</v>
      </c>
      <c r="V41" s="23" t="s">
        <v>111</v>
      </c>
      <c r="W41" s="23" t="s">
        <v>43</v>
      </c>
      <c r="X41" s="29">
        <f t="shared" si="4"/>
        <v>1.129700144</v>
      </c>
      <c r="Y41" s="29">
        <f t="shared" si="5"/>
        <v>8.716686284</v>
      </c>
      <c r="Z41" s="29">
        <f t="shared" si="6"/>
        <v>1.298089036</v>
      </c>
      <c r="AA41" s="30">
        <f t="shared" ref="AA41:AB41" si="83">J41^0.11</f>
        <v>1.424863957</v>
      </c>
      <c r="AB41" s="30">
        <f t="shared" si="83"/>
        <v>1.424713428</v>
      </c>
      <c r="AC41" s="30">
        <f t="shared" si="8"/>
        <v>1.047890872</v>
      </c>
      <c r="AD41" s="30">
        <f t="shared" ref="AD41:AE41" si="84">Q41^0.09</f>
        <v>1.230268771</v>
      </c>
      <c r="AE41" s="30">
        <f t="shared" si="84"/>
        <v>1.694205643</v>
      </c>
      <c r="AF41" s="31">
        <f t="shared" si="10"/>
        <v>56.67639018</v>
      </c>
    </row>
    <row r="42" ht="15.75" customHeight="1">
      <c r="B42" s="23" t="s">
        <v>105</v>
      </c>
      <c r="C42" s="23" t="s">
        <v>106</v>
      </c>
      <c r="D42" s="23" t="s">
        <v>32</v>
      </c>
      <c r="E42" s="23" t="s">
        <v>124</v>
      </c>
      <c r="F42" s="23" t="s">
        <v>125</v>
      </c>
      <c r="G42" s="24">
        <v>2.0</v>
      </c>
      <c r="H42" s="24">
        <v>890000.0</v>
      </c>
      <c r="I42" s="24">
        <v>7.1</v>
      </c>
      <c r="J42" s="24">
        <v>26.0</v>
      </c>
      <c r="K42" s="27">
        <f t="shared" si="3"/>
        <v>17.804</v>
      </c>
      <c r="L42" s="24">
        <v>0.054</v>
      </c>
      <c r="M42" s="24">
        <v>0.48</v>
      </c>
      <c r="N42" s="24">
        <v>10.1</v>
      </c>
      <c r="O42" s="24">
        <v>7.17</v>
      </c>
      <c r="P42" s="24">
        <v>1.24</v>
      </c>
      <c r="Q42" s="24">
        <v>7.7</v>
      </c>
      <c r="R42" s="24">
        <v>192.0</v>
      </c>
      <c r="S42" s="23" t="s">
        <v>109</v>
      </c>
      <c r="T42" s="23" t="s">
        <v>40</v>
      </c>
      <c r="U42" s="23" t="s">
        <v>110</v>
      </c>
      <c r="V42" s="23" t="s">
        <v>111</v>
      </c>
      <c r="W42" s="23" t="s">
        <v>43</v>
      </c>
      <c r="X42" s="29">
        <f t="shared" si="4"/>
        <v>1.140763716</v>
      </c>
      <c r="Y42" s="29">
        <f t="shared" si="5"/>
        <v>10.26588278</v>
      </c>
      <c r="Z42" s="29">
        <f t="shared" si="6"/>
        <v>1.290219452</v>
      </c>
      <c r="AA42" s="30">
        <f t="shared" ref="AA42:AB42" si="85">J42^0.11</f>
        <v>1.431024497</v>
      </c>
      <c r="AB42" s="30">
        <f t="shared" si="85"/>
        <v>1.372640897</v>
      </c>
      <c r="AC42" s="30">
        <f t="shared" si="8"/>
        <v>1.023944424</v>
      </c>
      <c r="AD42" s="30">
        <f t="shared" ref="AD42:AE42" si="86">Q42^0.09</f>
        <v>1.201667084</v>
      </c>
      <c r="AE42" s="30">
        <f t="shared" si="86"/>
        <v>1.605081579</v>
      </c>
      <c r="AF42" s="31">
        <f t="shared" si="10"/>
        <v>58.61614455</v>
      </c>
    </row>
    <row r="43" ht="15.75" customHeight="1">
      <c r="B43" s="23" t="s">
        <v>105</v>
      </c>
      <c r="C43" s="23" t="s">
        <v>106</v>
      </c>
      <c r="D43" s="23" t="s">
        <v>32</v>
      </c>
      <c r="E43" s="23" t="s">
        <v>126</v>
      </c>
      <c r="F43" s="23" t="s">
        <v>127</v>
      </c>
      <c r="G43" s="24">
        <v>6.5</v>
      </c>
      <c r="H43" s="24">
        <v>720000.0</v>
      </c>
      <c r="I43" s="24">
        <v>6.91</v>
      </c>
      <c r="J43" s="24">
        <v>25.0</v>
      </c>
      <c r="K43" s="27">
        <f t="shared" si="3"/>
        <v>16.457</v>
      </c>
      <c r="L43" s="24">
        <v>0.067</v>
      </c>
      <c r="M43" s="24">
        <v>0.99</v>
      </c>
      <c r="N43" s="24">
        <v>8.68</v>
      </c>
      <c r="O43" s="24">
        <v>6.72</v>
      </c>
      <c r="P43" s="24">
        <v>0.99</v>
      </c>
      <c r="Q43" s="24">
        <v>19.3</v>
      </c>
      <c r="R43" s="24">
        <v>532.0</v>
      </c>
      <c r="S43" s="23" t="s">
        <v>109</v>
      </c>
      <c r="T43" s="23" t="s">
        <v>40</v>
      </c>
      <c r="U43" s="23" t="s">
        <v>110</v>
      </c>
      <c r="V43" s="23" t="s">
        <v>111</v>
      </c>
      <c r="W43" s="23" t="s">
        <v>43</v>
      </c>
      <c r="X43" s="29">
        <f t="shared" si="4"/>
        <v>1.427097146</v>
      </c>
      <c r="Y43" s="29">
        <f t="shared" si="5"/>
        <v>9.902538154</v>
      </c>
      <c r="Z43" s="29">
        <f t="shared" si="6"/>
        <v>1.285677804</v>
      </c>
      <c r="AA43" s="30">
        <f t="shared" ref="AA43:AB43" si="87">J43^0.11</f>
        <v>1.424863957</v>
      </c>
      <c r="AB43" s="30">
        <f t="shared" si="87"/>
        <v>1.360813389</v>
      </c>
      <c r="AC43" s="30">
        <f t="shared" si="8"/>
        <v>0.9988950739</v>
      </c>
      <c r="AD43" s="30">
        <f t="shared" ref="AD43:AE43" si="88">Q43^0.09</f>
        <v>1.305269403</v>
      </c>
      <c r="AE43" s="30">
        <f t="shared" si="88"/>
        <v>1.759268177</v>
      </c>
      <c r="AF43" s="31">
        <f t="shared" si="10"/>
        <v>80.8083537</v>
      </c>
    </row>
    <row r="44" ht="15.75" customHeight="1">
      <c r="B44" s="23" t="s">
        <v>105</v>
      </c>
      <c r="C44" s="23" t="s">
        <v>106</v>
      </c>
      <c r="D44" s="23" t="s">
        <v>32</v>
      </c>
      <c r="E44" s="23" t="s">
        <v>128</v>
      </c>
      <c r="F44" s="23" t="s">
        <v>129</v>
      </c>
      <c r="G44" s="24">
        <v>5.6</v>
      </c>
      <c r="H44" s="24">
        <v>60000.0</v>
      </c>
      <c r="I44" s="24">
        <v>7.09</v>
      </c>
      <c r="J44" s="24">
        <v>26.0</v>
      </c>
      <c r="K44" s="27">
        <f t="shared" si="3"/>
        <v>26.076</v>
      </c>
      <c r="L44" s="24">
        <v>0.026</v>
      </c>
      <c r="M44" s="24">
        <v>20.7</v>
      </c>
      <c r="N44" s="24">
        <v>4.13</v>
      </c>
      <c r="O44" s="24">
        <v>1.22</v>
      </c>
      <c r="P44" s="24">
        <v>0.62</v>
      </c>
      <c r="Q44" s="24">
        <v>6.09</v>
      </c>
      <c r="R44" s="24">
        <v>20000.0</v>
      </c>
      <c r="S44" s="23" t="s">
        <v>109</v>
      </c>
      <c r="T44" s="23" t="s">
        <v>40</v>
      </c>
      <c r="U44" s="23" t="s">
        <v>110</v>
      </c>
      <c r="V44" s="23" t="s">
        <v>111</v>
      </c>
      <c r="W44" s="23" t="s">
        <v>43</v>
      </c>
      <c r="X44" s="29">
        <f t="shared" si="4"/>
        <v>1.387253168</v>
      </c>
      <c r="Y44" s="29">
        <f t="shared" si="5"/>
        <v>6.490612959</v>
      </c>
      <c r="Z44" s="29">
        <f t="shared" si="6"/>
        <v>1.28998307</v>
      </c>
      <c r="AA44" s="30">
        <f t="shared" ref="AA44:AB44" si="89">J44^0.11</f>
        <v>1.431024497</v>
      </c>
      <c r="AB44" s="30">
        <f t="shared" si="89"/>
        <v>1.431484029</v>
      </c>
      <c r="AC44" s="30">
        <f t="shared" si="8"/>
        <v>0.9487746794</v>
      </c>
      <c r="AD44" s="30">
        <f t="shared" ref="AD44:AE44" si="90">Q44^0.09</f>
        <v>1.176564001</v>
      </c>
      <c r="AE44" s="30">
        <f t="shared" si="90"/>
        <v>2.438331222</v>
      </c>
      <c r="AF44" s="31">
        <f t="shared" si="10"/>
        <v>64.76350807</v>
      </c>
    </row>
    <row r="45" ht="15.75" customHeight="1">
      <c r="B45" s="23" t="s">
        <v>105</v>
      </c>
      <c r="C45" s="23" t="s">
        <v>106</v>
      </c>
      <c r="D45" s="23" t="s">
        <v>32</v>
      </c>
      <c r="E45" s="23" t="s">
        <v>130</v>
      </c>
      <c r="F45" s="23" t="s">
        <v>87</v>
      </c>
      <c r="G45" s="24">
        <v>1.6</v>
      </c>
      <c r="H45" s="24">
        <v>530000.0</v>
      </c>
      <c r="I45" s="24">
        <v>7.09</v>
      </c>
      <c r="J45" s="24">
        <v>20.0</v>
      </c>
      <c r="K45" s="27">
        <f t="shared" si="3"/>
        <v>16.123</v>
      </c>
      <c r="L45" s="24">
        <v>0.093</v>
      </c>
      <c r="M45" s="24">
        <v>0.12</v>
      </c>
      <c r="N45" s="24">
        <v>9.35</v>
      </c>
      <c r="O45" s="24">
        <v>6.56</v>
      </c>
      <c r="P45" s="24">
        <v>1.13</v>
      </c>
      <c r="Q45" s="24">
        <v>17.7</v>
      </c>
      <c r="R45" s="24">
        <v>3170.0</v>
      </c>
      <c r="S45" s="23" t="s">
        <v>109</v>
      </c>
      <c r="T45" s="23" t="s">
        <v>40</v>
      </c>
      <c r="U45" s="23" t="s">
        <v>110</v>
      </c>
      <c r="V45" s="23" t="s">
        <v>111</v>
      </c>
      <c r="W45" s="23" t="s">
        <v>43</v>
      </c>
      <c r="X45" s="29">
        <f t="shared" si="4"/>
        <v>1.093409384</v>
      </c>
      <c r="Y45" s="29">
        <f t="shared" si="5"/>
        <v>9.399979313</v>
      </c>
      <c r="Z45" s="29">
        <f t="shared" si="6"/>
        <v>1.28998307</v>
      </c>
      <c r="AA45" s="30">
        <f t="shared" ref="AA45:AB45" si="91">J45^0.11</f>
        <v>1.390315292</v>
      </c>
      <c r="AB45" s="30">
        <f t="shared" si="91"/>
        <v>1.3577476</v>
      </c>
      <c r="AC45" s="30">
        <f t="shared" si="8"/>
        <v>1.013534716</v>
      </c>
      <c r="AD45" s="30">
        <f t="shared" ref="AD45:AE45" si="92">Q45^0.09</f>
        <v>1.295142616</v>
      </c>
      <c r="AE45" s="30">
        <f t="shared" si="92"/>
        <v>2.065833585</v>
      </c>
      <c r="AF45" s="31">
        <f t="shared" si="10"/>
        <v>67.86996183</v>
      </c>
    </row>
    <row r="46" ht="15.75" customHeight="1">
      <c r="B46" s="23" t="s">
        <v>105</v>
      </c>
      <c r="C46" s="23" t="s">
        <v>106</v>
      </c>
      <c r="D46" s="23" t="s">
        <v>32</v>
      </c>
      <c r="E46" s="23" t="s">
        <v>131</v>
      </c>
      <c r="F46" s="23" t="s">
        <v>132</v>
      </c>
      <c r="G46" s="24">
        <v>3.9</v>
      </c>
      <c r="H46" s="24">
        <v>320000.0</v>
      </c>
      <c r="I46" s="24">
        <v>7.1</v>
      </c>
      <c r="J46" s="24">
        <v>22.0</v>
      </c>
      <c r="K46" s="27">
        <f t="shared" si="3"/>
        <v>9.15</v>
      </c>
      <c r="L46" s="34"/>
      <c r="M46" s="24">
        <v>0.78</v>
      </c>
      <c r="N46" s="24">
        <v>4.8</v>
      </c>
      <c r="O46" s="24">
        <v>3.57</v>
      </c>
      <c r="P46" s="24">
        <v>0.86</v>
      </c>
      <c r="Q46" s="24">
        <v>7.73</v>
      </c>
      <c r="R46" s="24">
        <v>158.0</v>
      </c>
      <c r="S46" s="23" t="s">
        <v>109</v>
      </c>
      <c r="T46" s="23" t="s">
        <v>40</v>
      </c>
      <c r="U46" s="23" t="s">
        <v>110</v>
      </c>
      <c r="V46" s="23" t="s">
        <v>111</v>
      </c>
      <c r="W46" s="23" t="s">
        <v>43</v>
      </c>
      <c r="X46" s="29">
        <f t="shared" si="4"/>
        <v>1.295096934</v>
      </c>
      <c r="Y46" s="29">
        <f t="shared" si="5"/>
        <v>8.627311843</v>
      </c>
      <c r="Z46" s="29">
        <f t="shared" si="6"/>
        <v>1.290219452</v>
      </c>
      <c r="AA46" s="30">
        <f t="shared" ref="AA46:AB46" si="93">J46^0.11</f>
        <v>1.404968201</v>
      </c>
      <c r="AB46" s="30">
        <f t="shared" si="93"/>
        <v>1.275722809</v>
      </c>
      <c r="AC46" s="30">
        <f t="shared" si="8"/>
        <v>0.9835463468</v>
      </c>
      <c r="AD46" s="30">
        <f t="shared" ref="AD46:AE46" si="94">Q46^0.09</f>
        <v>1.202087703</v>
      </c>
      <c r="AE46" s="30">
        <f t="shared" si="94"/>
        <v>1.577172289</v>
      </c>
      <c r="AF46" s="31">
        <f t="shared" si="10"/>
        <v>48.18083188</v>
      </c>
    </row>
    <row r="47" ht="15.75" customHeight="1">
      <c r="B47" s="23" t="s">
        <v>105</v>
      </c>
      <c r="C47" s="23" t="s">
        <v>106</v>
      </c>
      <c r="D47" s="23" t="s">
        <v>32</v>
      </c>
      <c r="E47" s="23" t="s">
        <v>133</v>
      </c>
      <c r="F47" s="23" t="s">
        <v>87</v>
      </c>
      <c r="G47" s="24">
        <v>2.2</v>
      </c>
      <c r="H47" s="24">
        <v>310000.0</v>
      </c>
      <c r="I47" s="24">
        <v>6.91</v>
      </c>
      <c r="J47" s="24">
        <v>26.0</v>
      </c>
      <c r="K47" s="27">
        <f t="shared" si="3"/>
        <v>13.6</v>
      </c>
      <c r="L47" s="34"/>
      <c r="M47" s="34"/>
      <c r="N47" s="24">
        <v>7.86</v>
      </c>
      <c r="O47" s="24">
        <v>5.74</v>
      </c>
      <c r="P47" s="24">
        <v>1.08</v>
      </c>
      <c r="Q47" s="24">
        <v>10.0</v>
      </c>
      <c r="R47" s="24">
        <v>5240.0</v>
      </c>
      <c r="S47" s="23" t="s">
        <v>109</v>
      </c>
      <c r="T47" s="23" t="s">
        <v>40</v>
      </c>
      <c r="U47" s="23" t="s">
        <v>110</v>
      </c>
      <c r="V47" s="23" t="s">
        <v>111</v>
      </c>
      <c r="W47" s="23" t="s">
        <v>43</v>
      </c>
      <c r="X47" s="29">
        <f t="shared" si="4"/>
        <v>1.161609912</v>
      </c>
      <c r="Y47" s="29">
        <f t="shared" si="5"/>
        <v>8.58087327</v>
      </c>
      <c r="Z47" s="29">
        <f t="shared" si="6"/>
        <v>1.285677804</v>
      </c>
      <c r="AA47" s="30">
        <f t="shared" ref="AA47:AB47" si="95">J47^0.11</f>
        <v>1.431024497</v>
      </c>
      <c r="AB47" s="30">
        <f t="shared" si="95"/>
        <v>1.332567693</v>
      </c>
      <c r="AC47" s="30">
        <f t="shared" si="8"/>
        <v>1.00850165</v>
      </c>
      <c r="AD47" s="30">
        <f t="shared" ref="AD47:AE47" si="96">Q47^0.09</f>
        <v>1.230268771</v>
      </c>
      <c r="AE47" s="30">
        <f t="shared" si="96"/>
        <v>2.161423235</v>
      </c>
      <c r="AF47" s="31">
        <f t="shared" si="10"/>
        <v>65.5355156</v>
      </c>
    </row>
    <row r="48" ht="15.75" customHeight="1">
      <c r="B48" s="23" t="s">
        <v>105</v>
      </c>
      <c r="C48" s="23" t="s">
        <v>106</v>
      </c>
      <c r="D48" s="23" t="s">
        <v>32</v>
      </c>
      <c r="E48" s="23" t="s">
        <v>134</v>
      </c>
      <c r="F48" s="23" t="s">
        <v>135</v>
      </c>
      <c r="G48" s="24">
        <v>6.1</v>
      </c>
      <c r="H48" s="24">
        <v>48000.0</v>
      </c>
      <c r="I48" s="24">
        <v>7.0</v>
      </c>
      <c r="J48" s="24">
        <v>22.0</v>
      </c>
      <c r="K48" s="27">
        <f t="shared" si="3"/>
        <v>12.74</v>
      </c>
      <c r="L48" s="34"/>
      <c r="M48" s="34"/>
      <c r="N48" s="24">
        <v>7.54</v>
      </c>
      <c r="O48" s="24">
        <v>5.2</v>
      </c>
      <c r="P48" s="24">
        <v>0.84</v>
      </c>
      <c r="Q48" s="24">
        <v>13.9</v>
      </c>
      <c r="R48" s="24">
        <v>756.0</v>
      </c>
      <c r="S48" s="23" t="s">
        <v>109</v>
      </c>
      <c r="T48" s="23" t="s">
        <v>40</v>
      </c>
      <c r="U48" s="23" t="s">
        <v>110</v>
      </c>
      <c r="V48" s="23" t="s">
        <v>111</v>
      </c>
      <c r="W48" s="23" t="s">
        <v>43</v>
      </c>
      <c r="X48" s="29">
        <f t="shared" si="4"/>
        <v>1.409979079</v>
      </c>
      <c r="Y48" s="29">
        <f t="shared" si="5"/>
        <v>6.249006988</v>
      </c>
      <c r="Z48" s="29">
        <f t="shared" si="6"/>
        <v>1.287842477</v>
      </c>
      <c r="AA48" s="30">
        <f t="shared" ref="AA48:AB48" si="97">J48^0.11</f>
        <v>1.404968201</v>
      </c>
      <c r="AB48" s="30">
        <f t="shared" si="97"/>
        <v>1.323026786</v>
      </c>
      <c r="AC48" s="30">
        <f t="shared" si="8"/>
        <v>0.9810038718</v>
      </c>
      <c r="AD48" s="30">
        <f t="shared" ref="AD48:AE48" si="98">Q48^0.09</f>
        <v>1.267276356</v>
      </c>
      <c r="AE48" s="30">
        <f t="shared" si="98"/>
        <v>1.815795609</v>
      </c>
      <c r="AF48" s="31">
        <f t="shared" si="10"/>
        <v>47.6135509</v>
      </c>
    </row>
    <row r="49" ht="15.75" customHeight="1">
      <c r="B49" s="23" t="s">
        <v>105</v>
      </c>
      <c r="C49" s="23" t="s">
        <v>106</v>
      </c>
      <c r="D49" s="23" t="s">
        <v>32</v>
      </c>
      <c r="E49" s="23" t="s">
        <v>136</v>
      </c>
      <c r="F49" s="23" t="s">
        <v>137</v>
      </c>
      <c r="G49" s="24">
        <v>2.52</v>
      </c>
      <c r="H49" s="24">
        <v>210000.0</v>
      </c>
      <c r="I49" s="24">
        <v>6.86</v>
      </c>
      <c r="J49" s="24">
        <v>22.0</v>
      </c>
      <c r="K49" s="27">
        <f t="shared" si="3"/>
        <v>14.48</v>
      </c>
      <c r="L49" s="34"/>
      <c r="M49" s="34"/>
      <c r="N49" s="24">
        <v>8.62</v>
      </c>
      <c r="O49" s="24">
        <v>5.86</v>
      </c>
      <c r="P49" s="24">
        <v>0.02</v>
      </c>
      <c r="Q49" s="24">
        <v>8.0</v>
      </c>
      <c r="R49" s="24">
        <v>292.0</v>
      </c>
      <c r="S49" s="23" t="s">
        <v>109</v>
      </c>
      <c r="T49" s="23" t="s">
        <v>40</v>
      </c>
      <c r="U49" s="23" t="s">
        <v>110</v>
      </c>
      <c r="V49" s="23" t="s">
        <v>111</v>
      </c>
      <c r="W49" s="23" t="s">
        <v>43</v>
      </c>
      <c r="X49" s="29">
        <f t="shared" si="4"/>
        <v>1.191972135</v>
      </c>
      <c r="Y49" s="29">
        <f t="shared" si="5"/>
        <v>8.031141543</v>
      </c>
      <c r="Z49" s="29">
        <f t="shared" si="6"/>
        <v>1.284464587</v>
      </c>
      <c r="AA49" s="30">
        <f t="shared" ref="AA49:AB49" si="99">J49^0.11</f>
        <v>1.404968201</v>
      </c>
      <c r="AB49" s="30">
        <f t="shared" si="99"/>
        <v>1.341789972</v>
      </c>
      <c r="AC49" s="30">
        <f t="shared" si="8"/>
        <v>0.6502993195</v>
      </c>
      <c r="AD49" s="30">
        <f t="shared" ref="AD49:AE49" si="100">Q49^0.09</f>
        <v>1.205807828</v>
      </c>
      <c r="AE49" s="30">
        <f t="shared" si="100"/>
        <v>1.666803703</v>
      </c>
      <c r="AF49" s="31">
        <f t="shared" si="10"/>
        <v>30.29649651</v>
      </c>
    </row>
    <row r="50" ht="15.75" customHeight="1">
      <c r="B50" s="23" t="s">
        <v>105</v>
      </c>
      <c r="C50" s="23" t="s">
        <v>106</v>
      </c>
      <c r="D50" s="23" t="s">
        <v>32</v>
      </c>
      <c r="E50" s="23" t="s">
        <v>138</v>
      </c>
      <c r="F50" s="23" t="s">
        <v>139</v>
      </c>
      <c r="G50" s="24">
        <v>2.33</v>
      </c>
      <c r="H50" s="24">
        <v>330000.0</v>
      </c>
      <c r="I50" s="24">
        <v>6.93</v>
      </c>
      <c r="J50" s="24">
        <v>25.0</v>
      </c>
      <c r="K50" s="27">
        <f t="shared" si="3"/>
        <v>19.1</v>
      </c>
      <c r="L50" s="34"/>
      <c r="M50" s="34"/>
      <c r="N50" s="24">
        <v>14.4</v>
      </c>
      <c r="O50" s="24">
        <v>4.7</v>
      </c>
      <c r="P50" s="24">
        <v>0.86</v>
      </c>
      <c r="Q50" s="24">
        <v>10.3</v>
      </c>
      <c r="R50" s="24">
        <v>768.0</v>
      </c>
      <c r="S50" s="23" t="s">
        <v>109</v>
      </c>
      <c r="T50" s="23" t="s">
        <v>40</v>
      </c>
      <c r="U50" s="23" t="s">
        <v>110</v>
      </c>
      <c r="V50" s="23" t="s">
        <v>111</v>
      </c>
      <c r="W50" s="23" t="s">
        <v>43</v>
      </c>
      <c r="X50" s="29">
        <f t="shared" si="4"/>
        <v>1.174350197</v>
      </c>
      <c r="Y50" s="29">
        <f t="shared" si="5"/>
        <v>8.672561131</v>
      </c>
      <c r="Z50" s="29">
        <f t="shared" si="6"/>
        <v>1.286160953</v>
      </c>
      <c r="AA50" s="30">
        <f t="shared" ref="AA50:AB50" si="101">J50^0.11</f>
        <v>1.424863957</v>
      </c>
      <c r="AB50" s="30">
        <f t="shared" si="101"/>
        <v>1.383291379</v>
      </c>
      <c r="AC50" s="30">
        <f t="shared" si="8"/>
        <v>0.9835463468</v>
      </c>
      <c r="AD50" s="30">
        <f t="shared" ref="AD50:AE50" si="102">Q50^0.09</f>
        <v>1.233546002</v>
      </c>
      <c r="AE50" s="30">
        <f t="shared" si="102"/>
        <v>1.818371056</v>
      </c>
      <c r="AF50" s="31">
        <f t="shared" si="10"/>
        <v>56.95870101</v>
      </c>
    </row>
    <row r="51" ht="15.75" customHeight="1"/>
    <row r="52" ht="15.75" customHeight="1">
      <c r="C52" s="2"/>
      <c r="D52" s="2"/>
      <c r="E52" s="2"/>
    </row>
    <row r="53" ht="15.75" customHeight="1">
      <c r="C53" s="2"/>
      <c r="D53" s="2"/>
      <c r="E53" s="2"/>
    </row>
    <row r="54" ht="15.75" customHeight="1">
      <c r="C54" s="2"/>
      <c r="D54" s="2"/>
      <c r="E54" s="2"/>
    </row>
    <row r="55" ht="15.75" customHeight="1">
      <c r="C55" s="2"/>
      <c r="D55" s="2"/>
      <c r="E55" s="2"/>
    </row>
    <row r="56" ht="15.75" customHeight="1">
      <c r="C56" s="2"/>
      <c r="D56" s="2"/>
      <c r="E56" s="2"/>
    </row>
    <row r="57" ht="15.75" customHeight="1">
      <c r="C57" s="2"/>
      <c r="D57" s="2"/>
      <c r="E57" s="2"/>
    </row>
    <row r="58" ht="15.75" customHeight="1">
      <c r="C58" s="2"/>
      <c r="D58" s="2"/>
      <c r="E58" s="2"/>
    </row>
    <row r="59" ht="15.75" customHeight="1">
      <c r="C59" s="2"/>
      <c r="D59" s="2"/>
      <c r="E59" s="2"/>
    </row>
    <row r="60" ht="15.75" customHeight="1">
      <c r="C60" s="2"/>
      <c r="D60" s="2"/>
      <c r="E60" s="2"/>
    </row>
    <row r="61" ht="15.75" customHeight="1">
      <c r="C61" s="2"/>
      <c r="D61" s="2"/>
      <c r="E61" s="2"/>
    </row>
    <row r="62" ht="15.75" customHeight="1">
      <c r="C62" s="2"/>
      <c r="D62" s="2"/>
      <c r="E62" s="2"/>
    </row>
    <row r="63" ht="15.75" customHeight="1">
      <c r="C63" s="2"/>
      <c r="D63" s="2"/>
      <c r="E63" s="2"/>
    </row>
    <row r="64" ht="15.75" customHeight="1">
      <c r="C64" s="2"/>
      <c r="D64" s="2"/>
      <c r="E64" s="2"/>
    </row>
    <row r="65" ht="15.75" customHeight="1">
      <c r="C65" s="2"/>
      <c r="D65" s="2"/>
      <c r="E65" s="2"/>
    </row>
    <row r="66" ht="15.75" customHeight="1">
      <c r="C66" s="2"/>
      <c r="D66" s="2"/>
      <c r="E66" s="2"/>
    </row>
    <row r="67" ht="15.75" customHeight="1">
      <c r="D67" s="2"/>
      <c r="E67" s="2"/>
    </row>
    <row r="68" ht="15.75" customHeight="1">
      <c r="E68" s="2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X1:AE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7.29"/>
    <col customWidth="1" min="2" max="2" width="25.14"/>
  </cols>
  <sheetData>
    <row r="1">
      <c r="B1" s="3" t="s">
        <v>0</v>
      </c>
      <c r="C1" s="5"/>
      <c r="D1" s="5"/>
      <c r="E1" s="6"/>
      <c r="F1" s="8"/>
    </row>
    <row r="2">
      <c r="B2" s="9" t="s">
        <v>1</v>
      </c>
      <c r="C2" s="10" t="s">
        <v>2</v>
      </c>
      <c r="D2" s="10" t="s">
        <v>3</v>
      </c>
      <c r="E2" s="6"/>
      <c r="F2" s="8"/>
    </row>
    <row r="3">
      <c r="B3" s="6" t="s">
        <v>5</v>
      </c>
      <c r="C3" s="4">
        <v>0.17</v>
      </c>
      <c r="D3" s="16">
        <f>0.17/0.9</f>
        <v>0.1888888889</v>
      </c>
      <c r="E3" s="18"/>
    </row>
    <row r="4">
      <c r="B4" s="6" t="s">
        <v>23</v>
      </c>
      <c r="C4" s="4">
        <v>0.15</v>
      </c>
      <c r="D4" s="16">
        <f>0.15/0.9</f>
        <v>0.1666666667</v>
      </c>
      <c r="E4" s="18"/>
    </row>
    <row r="5">
      <c r="B5" s="6" t="s">
        <v>25</v>
      </c>
      <c r="C5" s="4">
        <v>0.12</v>
      </c>
      <c r="D5" s="16">
        <f>0.12/0.9</f>
        <v>0.1333333333</v>
      </c>
      <c r="E5" s="18"/>
    </row>
    <row r="6">
      <c r="B6" s="6" t="s">
        <v>28</v>
      </c>
      <c r="C6" s="21">
        <v>0.1</v>
      </c>
      <c r="D6" s="16">
        <f t="shared" ref="D6:D8" si="1">0.1/0.9</f>
        <v>0.1111111111</v>
      </c>
      <c r="E6" s="18"/>
    </row>
    <row r="7">
      <c r="B7" s="6" t="s">
        <v>35</v>
      </c>
      <c r="C7" s="21">
        <v>0.1</v>
      </c>
      <c r="D7" s="16">
        <f t="shared" si="1"/>
        <v>0.1111111111</v>
      </c>
      <c r="E7" s="18"/>
    </row>
    <row r="8">
      <c r="B8" s="6" t="s">
        <v>36</v>
      </c>
      <c r="C8" s="21">
        <v>0.1</v>
      </c>
      <c r="D8" s="16">
        <f t="shared" si="1"/>
        <v>0.1111111111</v>
      </c>
      <c r="E8" s="18"/>
    </row>
    <row r="9">
      <c r="B9" s="6" t="s">
        <v>37</v>
      </c>
      <c r="C9" s="4">
        <v>0.08</v>
      </c>
      <c r="D9" s="16">
        <f t="shared" ref="D9:D10" si="2">0.08/0.9</f>
        <v>0.08888888889</v>
      </c>
      <c r="E9" s="18"/>
    </row>
    <row r="10">
      <c r="B10" s="25" t="s">
        <v>38</v>
      </c>
      <c r="C10" s="26">
        <v>0.08</v>
      </c>
      <c r="D10" s="28">
        <f t="shared" si="2"/>
        <v>0.08888888889</v>
      </c>
      <c r="E10" s="18"/>
    </row>
  </sheetData>
  <mergeCells count="1">
    <mergeCell ref="B1:D1"/>
  </mergeCells>
  <drawing r:id="rId1"/>
</worksheet>
</file>